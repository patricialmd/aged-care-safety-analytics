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61451\Desktop\aged-care-safety-analytics\dashboard\"/>
    </mc:Choice>
  </mc:AlternateContent>
  <xr:revisionPtr revIDLastSave="0" documentId="13_ncr:1_{F707E3F2-EFF4-487F-A9B4-208F2D0BBDE9}" xr6:coauthVersionLast="47" xr6:coauthVersionMax="47" xr10:uidLastSave="{00000000-0000-0000-0000-000000000000}"/>
  <bookViews>
    <workbookView xWindow="-108" yWindow="-108" windowWidth="23256" windowHeight="12576" xr2:uid="{6E02EF66-892C-4213-9D6F-837D074BECC5}"/>
  </bookViews>
  <sheets>
    <sheet name="Dashboard" sheetId="16" r:id="rId1"/>
    <sheet name="PivotTables" sheetId="14" r:id="rId2"/>
    <sheet name="Other Pivot Charts" sheetId="12" r:id="rId3"/>
    <sheet name="Checklist" sheetId="15" r:id="rId4"/>
    <sheet name="Q1_Population" sheetId="10" r:id="rId5"/>
    <sheet name="Q2_Geographic" sheetId="2" r:id="rId6"/>
    <sheet name="Q3_MonthlyTrends" sheetId="3" r:id="rId7"/>
    <sheet name="Q4_IncidentTypes" sheetId="4" r:id="rId8"/>
    <sheet name="Q5_ResponseTimes" sheetId="5" r:id="rId9"/>
    <sheet name="Q6.1_ResolutionRateBySeverity" sheetId="6" r:id="rId10"/>
    <sheet name="Q6.2_UnresolvedCasesByIncident" sheetId="11" r:id="rId11"/>
    <sheet name="Q7_HealthMetrics" sheetId="7" r:id="rId12"/>
    <sheet name="Q8_NoResults_IndMonitoring" sheetId="8" r:id="rId13"/>
  </sheets>
  <definedNames>
    <definedName name="query1" localSheetId="4">Q1_Population!$A$1:$D$19</definedName>
    <definedName name="query2" localSheetId="5">Q2_Geographic!$A$1:$D$19</definedName>
    <definedName name="query3" localSheetId="6">Q3_MonthlyTrends!$A$1:$C$13</definedName>
    <definedName name="query4" localSheetId="7">Q4_IncidentTypes!$A$1:$C$16</definedName>
    <definedName name="query5" localSheetId="8">Q5_ResponseTimes!$A$1:$C$4</definedName>
    <definedName name="query6" localSheetId="9">'Q6.1_ResolutionRateBySeverity'!$A$1:$C$7</definedName>
    <definedName name="query6_deeper_findings" localSheetId="10">'Q6.2_UnresolvedCasesByIncident'!$A$1:$B$6</definedName>
    <definedName name="query7" localSheetId="11">Q7_HealthMetrics!$A$1:$C$6</definedName>
    <definedName name="query8" localSheetId="12">Q8_NoResults_IndMonitoring!$A$1:$F$1</definedName>
  </definedNames>
  <calcPr calcId="18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CA151-BBDE-4653-A5F7-27EF2F4CC50C}" name="query1" type="6" refreshedVersion="8" background="1" saveData="1">
    <textPr codePage="65001" sourceFile="C:\Users\61451\Desktop\aged-care-safety-analytics\data\query1.csv" tab="0" comma="1">
      <textFields count="4">
        <textField/>
        <textField/>
        <textField/>
        <textField/>
      </textFields>
    </textPr>
  </connection>
  <connection id="2" xr16:uid="{5A75EEAF-3B3C-4FC8-8D54-892E2E0E8D0B}" name="query2" type="6" refreshedVersion="8" background="1" saveData="1">
    <textPr codePage="65001" sourceFile="C:\Users\61451\Desktop\aged-care-safety-analytics\data\query2.csv" tab="0" comma="1">
      <textFields count="4">
        <textField/>
        <textField/>
        <textField/>
        <textField/>
      </textFields>
    </textPr>
  </connection>
  <connection id="3" xr16:uid="{4065C47D-B2B8-42A7-8B64-241E5EADFFE1}" name="query3" type="6" refreshedVersion="8" background="1" saveData="1">
    <textPr codePage="65001" sourceFile="C:\Users\61451\Desktop\aged-care-safety-analytics\data\query3.csv" tab="0" comma="1">
      <textFields count="3">
        <textField/>
        <textField/>
        <textField/>
      </textFields>
    </textPr>
  </connection>
  <connection id="4" xr16:uid="{ED261465-210D-4386-AC63-F08C603D6298}" name="query4" type="6" refreshedVersion="8" background="1" saveData="1">
    <textPr codePage="65001" sourceFile="C:\Users\61451\Desktop\aged-care-safety-analytics\data\query4.csv" tab="0" comma="1">
      <textFields count="3">
        <textField/>
        <textField/>
        <textField/>
      </textFields>
    </textPr>
  </connection>
  <connection id="5" xr16:uid="{4AEEDDBF-3DAE-4FAC-B442-4915F5CE391E}" name="query5" type="6" refreshedVersion="8" background="1" saveData="1">
    <textPr codePage="65001" sourceFile="C:\Users\61451\Desktop\aged-care-safety-analytics\data\query5.csv" tab="0" comma="1">
      <textFields count="3">
        <textField/>
        <textField/>
        <textField/>
      </textFields>
    </textPr>
  </connection>
  <connection id="6" xr16:uid="{E8B65C40-5BCE-4847-A9C5-09E9FE0A30A3}" name="query6" type="6" refreshedVersion="8" background="1" saveData="1">
    <textPr codePage="65001" sourceFile="C:\Users\61451\Desktop\aged-care-safety-analytics\data\query6.csv" tab="0" comma="1">
      <textFields count="3">
        <textField/>
        <textField/>
        <textField/>
      </textFields>
    </textPr>
  </connection>
  <connection id="7" xr16:uid="{072D3EBB-F0EC-4F1B-9219-5C4E48D6B54E}" name="query6 deeper findings" type="6" refreshedVersion="8" background="1" saveData="1">
    <textPr codePage="65001" sourceFile="C:\Users\61451\Desktop\aged-care-safety-analytics\data\query6 deeper findings.csv" tab="0" comma="1">
      <textFields count="2">
        <textField/>
        <textField/>
      </textFields>
    </textPr>
  </connection>
  <connection id="8" xr16:uid="{77F1B6D8-8C65-40E2-B445-3D73CA3CF2B5}" name="query7" type="6" refreshedVersion="8" background="1" saveData="1">
    <textPr codePage="65001" sourceFile="C:\Users\61451\Desktop\aged-care-safety-analytics\data\query7.csv" tab="0" comma="1">
      <textFields count="3">
        <textField/>
        <textField/>
        <textField/>
      </textFields>
    </textPr>
  </connection>
  <connection id="9" xr16:uid="{5B669927-1BEC-4A97-9DD7-E69D0FBA0FD3}" name="query8" type="6" refreshedVersion="8" background="1" saveData="1">
    <textPr codePage="65001" sourceFile="C:\Users\61451\Desktop\aged-care-safety-analytics\data\query8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<sst xmlns="http://schemas.openxmlformats.org/spreadsheetml/2006/main" count="319" uniqueCount="78">
  <si>
    <t>location</t>
  </si>
  <si>
    <t>risk_category</t>
  </si>
  <si>
    <t>total_seniors</t>
  </si>
  <si>
    <t>avg_age</t>
  </si>
  <si>
    <t>Adelaide</t>
  </si>
  <si>
    <t>High</t>
  </si>
  <si>
    <t>Low</t>
  </si>
  <si>
    <t>Medium</t>
  </si>
  <si>
    <t>Brisbane</t>
  </si>
  <si>
    <t>Canberra</t>
  </si>
  <si>
    <t>Melbourne</t>
  </si>
  <si>
    <t>Perth</t>
  </si>
  <si>
    <t>Sydney</t>
  </si>
  <si>
    <t>severity</t>
  </si>
  <si>
    <t>total_incidents</t>
  </si>
  <si>
    <t>avg_response_time</t>
  </si>
  <si>
    <t>month</t>
  </si>
  <si>
    <t>high_severity_incidents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</si>
  <si>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</si>
  <si>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</si>
  <si>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</si>
  <si>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</si>
  <si>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</si>
  <si>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</si>
  <si>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</si>
  <si>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</si>
  <si>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</si>
  <si>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</si>
  <si>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</si>
  <si>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</si>
  <si>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incident_type</t>
  </si>
  <si>
    <t>Fall</t>
  </si>
  <si>
    <t>Medical Emergency</t>
  </si>
  <si>
    <t>Wandering</t>
  </si>
  <si>
    <t>Fire Alarm</t>
  </si>
  <si>
    <t>Medication Error</t>
  </si>
  <si>
    <t>resolved</t>
  </si>
  <si>
    <t>No</t>
  </si>
  <si>
    <t>Yes</t>
  </si>
  <si>
    <t>unresolved_cases</t>
  </si>
  <si>
    <t>avg_steps</t>
  </si>
  <si>
    <t>avg_heart_rate</t>
  </si>
  <si>
    <t xml:space="preserve">     </t>
  </si>
  <si>
    <t>senior_id</t>
  </si>
  <si>
    <r>
      <rPr>
        <b/>
        <sz val="11"/>
        <color theme="9"/>
        <rFont val="Aptos Narrow"/>
        <family val="2"/>
        <scheme val="minor"/>
      </rPr>
      <t>Note:</t>
    </r>
    <r>
      <rPr>
        <sz val="11"/>
        <color theme="9"/>
        <rFont val="Aptos Narrow"/>
        <family val="2"/>
        <scheme val="minor"/>
      </rPr>
      <t xml:space="preserve"> No individual needs immediate or enhanced monitoring. This is a positive finding which means there is effective proactive monitoring.</t>
    </r>
  </si>
  <si>
    <t>Row Labels</t>
  </si>
  <si>
    <t>Grand Total</t>
  </si>
  <si>
    <t>Column Labels</t>
  </si>
  <si>
    <t>Sum of total_seniors</t>
  </si>
  <si>
    <t>Sum of total_incidents</t>
  </si>
  <si>
    <t>Sum of avg_response_time</t>
  </si>
  <si>
    <t>Pivot Table 2: Geographic Demand and Response</t>
  </si>
  <si>
    <t>Pivot Table 1: Population Risk</t>
  </si>
  <si>
    <t>Pivot Table 3: Monthly Safety Trends</t>
  </si>
  <si>
    <t>Sum of high_severity_incidents</t>
  </si>
  <si>
    <t>Pivot Table 4: Incident Types</t>
  </si>
  <si>
    <t>Pivot Table 5: Response Times</t>
  </si>
  <si>
    <t>Sum of unresolved_cases</t>
  </si>
  <si>
    <t>Sum of avg_steps</t>
  </si>
  <si>
    <t>Sum of avg_heart_rate</t>
  </si>
  <si>
    <t>Checklist</t>
  </si>
  <si>
    <t>Pivot Table</t>
  </si>
  <si>
    <t>Query</t>
  </si>
  <si>
    <t>Pivot Chart</t>
  </si>
  <si>
    <t>#</t>
  </si>
  <si>
    <t>done</t>
  </si>
  <si>
    <t>Pivot Table 6.1: Resolution Success Rates</t>
  </si>
  <si>
    <t>Pivot Table 6.2: Unresolved Cases by Incident Type</t>
  </si>
  <si>
    <t>Pivot Table 7: Health Metrics and Incidents</t>
  </si>
  <si>
    <t>no results</t>
  </si>
  <si>
    <t>none</t>
  </si>
  <si>
    <t>clustered column and line</t>
  </si>
  <si>
    <t>clustered column chart</t>
  </si>
  <si>
    <t>stacked bar chart</t>
  </si>
  <si>
    <t>100% stacked column chart</t>
  </si>
  <si>
    <t>bar chart</t>
  </si>
  <si>
    <t>AGED CARE SAFETY ANALYTICS DASHBOARD</t>
  </si>
  <si>
    <t>February 2025 to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</si>
</sst>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28"/>
      <color theme="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Monthly Safety Trends (Feb 2025</a:t>
            </a:r>
            <a:r>
              <a:rPr lang="en-AU" b="1" baseline="0"/>
              <a:t> - Jan 2026)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PivotTables!$B$43</c:f>
              <c:strCache>
                <c:ptCount val="1"/>
                <c:pt idx="0">
                  <c:v>Sum of total_incidents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PivotTables!$A$44:$A$56</c:f>
              <c:strCache>
                <c:ptCount val="12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</c:strCache>
            </c:strRef>
          </c:cat>
          <c:val>
            <c:numRef>
              <c:f>PivotTables!$B$44:$B$56</c:f>
              <c:numCache>
                <c:formatCode>General</c:formatCode>
                <c:ptCount val="12"/>
                <c:pt idx="0">
                  <c:v>53</c:v>
                </c:pt>
                <c:pt idx="1">
                  <c:v>53</c:v>
                </c:pt>
                <c:pt idx="2">
                  <c:v>62</c:v>
                </c:pt>
                <c:pt idx="3">
                  <c:v>47</c:v>
                </c:pt>
                <c:pt idx="4">
                  <c:v>53</c:v>
                </c:pt>
                <c:pt idx="5">
                  <c:v>46</c:v>
                </c:pt>
                <c:pt idx="6">
                  <c:v>57</c:v>
                </c:pt>
                <c:pt idx="7">
                  <c:v>51</c:v>
                </c:pt>
                <c:pt idx="8">
                  <c:v>34</c:v>
                </c:pt>
                <c:pt idx="9">
                  <c:v>54</c:v>
                </c:pt>
                <c:pt idx="10">
                  <c:v>49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5-4480-86D7-624C4D33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789168"/>
        <c:axId val="1084814128"/>
      </c:barChart>
      <c:lineChart>
        <c:grouping val="standard"/>
        <c:varyColors val="0"/>
        <c:ser>
          <c:idx val="1"/>
          <c:order val="1"/>
          <c:tx>
            <c:strRef>
              <c:f>PivotTables!$C$43</c:f>
              <c:strCache>
                <c:ptCount val="1"/>
                <c:pt idx="0">
                  <c:v>Sum of high_severity_incidents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PivotTables!$A$44:$A$56</c:f>
              <c:strCache>
                <c:ptCount val="12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</c:strCache>
            </c:strRef>
          </c:cat>
          <c:val>
            <c:numRef>
              <c:f>PivotTables!$C$44:$C$56</c:f>
              <c:numCache>
                <c:formatCode>General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5-4480-86D7-624C4D332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813648"/>
        <c:axId val="1084803568"/>
      </c:lineChart>
      <c:catAx>
        <c:axId val="108481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/>
                  <a:t>Year and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03568"/>
        <c:crosses val="autoZero"/>
        <c:auto val="1"/>
        <c:lblAlgn val="ctr"/>
        <c:lblOffset val="100"/>
        <c:noMultiLvlLbl val="0"/>
      </c:catAx>
      <c:valAx>
        <c:axId val="10848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13648"/>
        <c:crosses val="autoZero"/>
        <c:crossBetween val="between"/>
      </c:valAx>
      <c:valAx>
        <c:axId val="1084814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89168"/>
        <c:crosses val="max"/>
        <c:crossBetween val="between"/>
      </c:valAx>
      <c:catAx>
        <c:axId val="108478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481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Incident Types by Risk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PivotTables!$B$60:$B$61</c:f>
              <c:strCache>
                <c:ptCount val="1"/>
                <c:pt idx="0">
                  <c:v>Fall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PivotTables!$A$62:$A$65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PivotTables!$B$62:$B$65</c:f>
              <c:numCache>
                <c:formatCode>General</c:formatCode>
                <c:ptCount val="3"/>
                <c:pt idx="0">
                  <c:v>90</c:v>
                </c:pt>
                <c:pt idx="1">
                  <c:v>73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1-4733-B8F0-BAC5A0F7C518}"/>
            </c:ext>
          </c:extLst>
        </c:ser>
        <c:ser>
          <c:idx val="1"/>
          <c:order val="1"/>
          <c:tx>
            <c:strRef>
              <c:f>PivotTables!$C$60:$C$61</c:f>
              <c:strCache>
                <c:ptCount val="1"/>
                <c:pt idx="0">
                  <c:v>Fire Alarm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PivotTables!$A$62:$A$65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PivotTables!$C$62:$C$65</c:f>
              <c:numCache>
                <c:formatCode>General</c:formatCode>
                <c:ptCount val="3"/>
                <c:pt idx="0">
                  <c:v>29</c:v>
                </c:pt>
                <c:pt idx="1">
                  <c:v>22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1-4733-B8F0-BAC5A0F7C518}"/>
            </c:ext>
          </c:extLst>
        </c:ser>
        <c:ser>
          <c:idx val="2"/>
          <c:order val="2"/>
          <c:tx>
            <c:strRef>
              <c:f>PivotTables!$D$60:$D$61</c:f>
              <c:strCache>
                <c:ptCount val="1"/>
                <c:pt idx="0">
                  <c:v>Medical Emergency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PivotTables!$A$62:$A$65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PivotTables!$D$62:$D$65</c:f>
              <c:numCache>
                <c:formatCode>General</c:formatCode>
                <c:ptCount val="3"/>
                <c:pt idx="0">
                  <c:v>65</c:v>
                </c:pt>
                <c:pt idx="1">
                  <c:v>43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1-4733-B8F0-BAC5A0F7C518}"/>
            </c:ext>
          </c:extLst>
        </c:ser>
        <c:ser>
          <c:idx val="3"/>
          <c:order val="3"/>
          <c:tx>
            <c:strRef>
              <c:f>PivotTables!$E$60:$E$61</c:f>
              <c:strCache>
                <c:ptCount val="1"/>
                <c:pt idx="0">
                  <c:v>Medication Error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PivotTables!$A$62:$A$65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PivotTables!$E$62:$E$65</c:f>
              <c:numCache>
                <c:formatCode>General</c:formatCode>
                <c:ptCount val="3"/>
                <c:pt idx="0">
                  <c:v>21</c:v>
                </c:pt>
                <c:pt idx="1">
                  <c:v>17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91-4733-B8F0-BAC5A0F7C518}"/>
            </c:ext>
          </c:extLst>
        </c:ser>
        <c:ser>
          <c:idx val="4"/>
          <c:order val="4"/>
          <c:tx>
            <c:strRef>
              <c:f>PivotTables!$F$60:$F$61</c:f>
              <c:strCache>
                <c:ptCount val="1"/>
                <c:pt idx="0">
                  <c:v>Wandering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PivotTables!$A$62:$A$65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PivotTables!$F$62:$F$65</c:f>
              <c:numCache>
                <c:formatCode>General</c:formatCode>
                <c:ptCount val="3"/>
                <c:pt idx="0">
                  <c:v>32</c:v>
                </c:pt>
                <c:pt idx="1">
                  <c:v>19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91-4733-B8F0-BAC5A0F7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312672"/>
        <c:axId val="910328032"/>
      </c:barChart>
      <c:catAx>
        <c:axId val="910312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/>
                  <a:t>Risk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28032"/>
        <c:crosses val="autoZero"/>
        <c:auto val="1"/>
        <c:lblAlgn val="ctr"/>
        <c:lblOffset val="100"/>
        <c:noMultiLvlLbl val="0"/>
      </c:catAx>
      <c:valAx>
        <c:axId val="91032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1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Response Performance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\ &quot;incident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1666666666666664E-2"/>
              <c:y val="0"/>
            </c:manualLayout>
          </c:layout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4444444444444391E-2"/>
              <c:y val="-4.6296296296296294E-3"/>
            </c:manualLayout>
          </c:layout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3333333333333333E-2"/>
              <c:y val="0"/>
            </c:manualLayout>
          </c:layout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\ &quot;incident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4.1666666666666664E-2"/>
              <c:y val="0"/>
            </c:manualLayout>
          </c:layout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4.4444444444444391E-2"/>
              <c:y val="-4.6296296296296294E-3"/>
            </c:manualLayout>
          </c:layout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3.3333333333333333E-2"/>
              <c:y val="0"/>
            </c:manualLayout>
          </c:layout>
          <c:numFmt formatCode="0.0\ &quot;minutes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4.1666808387612456E-2"/>
              <c:y val="4.945598417408506E-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4.4444444444444391E-2"/>
              <c:y val="-4.6296296296296294E-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dLbl>
          <c:idx val="0"/>
          <c:layout>
            <c:manualLayout>
              <c:x val="3.3333333333333333E-2"/>
              <c:y val="0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599712023038157E-3"/>
              <c:y val="4.945598417408506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B18493A-7FC9-4C98-A145-7DFD6685BA56}" type="VALUE">
                  <a:rPr lang="en-US">
                    <a:solidFill>
                      <a:schemeClr val="accent2"/>
                    </a:solidFill>
                  </a:rPr>
                  <a:pPr>
                    <a:defRPr/>
                  </a:pPr>
                  <a:t>[VALUE]</a:t>
                </a:fld>
                <a:endParaRPr lang="en-AU"/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1ADDD36-1E06-4DA6-AA3C-D1B8B23F6969}" type="VALUE">
                  <a:rPr lang="en-US">
                    <a:solidFill>
                      <a:schemeClr val="accent2"/>
                    </a:solidFill>
                  </a:rPr>
                  <a:pPr>
                    <a:defRPr/>
                  </a:pPr>
                  <a:t>[VALUE]</a:t>
                </a:fld>
                <a:endParaRPr lang="en-AU"/>
              </a:p>
            </c:rich>
          </c:tx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PivotTables!$B$69</c:f>
              <c:strCache>
                <c:ptCount val="1"/>
                <c:pt idx="0">
                  <c:v>Sum of total_incidents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EE8-4976-88C2-69C360265ED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E8-4976-88C2-69C360265EDB}"/>
              </c:ext>
            </c:extLst>
          </c:dPt>
          <c:dLbls>
            <c:dLbl>
              <c:idx val="1"/>
              <c:layout>
                <c:manualLayout>
                  <c:x val="3.599712023038157E-3"/>
                  <c:y val="4.945598417408506E-3"/>
                </c:manualLayout>
              </c:layout>
              <c:tx>
                <c:rich>
                  <a:bodyPr/>
                  <a:lstStyle/>
                  <a:p>
                    <a:fld id="{4B18493A-7FC9-4C98-A145-7DFD6685BA56}" type="VALUE">
                      <a:rPr lang="en-US">
                        <a:solidFill>
                          <a:schemeClr val="accent2"/>
                        </a:solidFill>
                      </a:rPr>
                      <a:pPr/>
                      <a:t>[VALUE]</a:t>
                    </a:fld>
                    <a:endParaRPr lang="en-AU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EE8-4976-88C2-69C360265E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1ADDD36-1E06-4DA6-AA3C-D1B8B23F6969}" type="VALUE">
                      <a:rPr lang="en-US">
                        <a:solidFill>
                          <a:schemeClr val="accent2"/>
                        </a:solidFill>
                      </a:rPr>
                      <a:pPr/>
                      <a:t>[VALUE]</a:t>
                    </a:fld>
                    <a:endParaRPr lang="en-AU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EE8-4976-88C2-69C360265EDB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PivotTables!$A$70:$A$73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PivotTables!$B$70:$B$73</c:f>
              <c:numCache>
                <c:formatCode>General</c:formatCode>
                <c:ptCount val="3"/>
                <c:pt idx="0">
                  <c:v>62</c:v>
                </c:pt>
                <c:pt idx="1">
                  <c:v>323</c:v>
                </c:pt>
                <c:pt idx="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8-4976-88C2-69C360265EDB}"/>
            </c:ext>
          </c:extLst>
        </c:ser>
        <c:ser>
          <c:idx val="1"/>
          <c:order val="1"/>
          <c:tx>
            <c:strRef>
              <c:f>PivotTables!$C$69</c:f>
              <c:strCache>
                <c:ptCount val="1"/>
                <c:pt idx="0">
                  <c:v>Sum of avg_response_time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8-4976-88C2-69C360265ED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E8-4976-88C2-69C360265ED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8-4976-88C2-69C360265EDB}"/>
              </c:ext>
            </c:extLst>
          </c:dPt>
          <c:dLbls>
            <c:dLbl>
              <c:idx val="0"/>
              <c:layout>
                <c:manualLayout>
                  <c:x val="4.1666808387612456E-2"/>
                  <c:y val="4.9455984174085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E8-4976-88C2-69C360265EDB}"/>
                </c:ext>
              </c:extLst>
            </c:dLbl>
            <c:dLbl>
              <c:idx val="1"/>
              <c:layout>
                <c:manualLayout>
                  <c:x val="4.4444444444444391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E8-4976-88C2-69C360265EDB}"/>
                </c:ext>
              </c:extLst>
            </c:dLbl>
            <c:dLbl>
              <c:idx val="2"/>
              <c:layout>
                <c:manualLayout>
                  <c:x val="3.333333333333333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E8-4976-88C2-69C360265EDB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PivotTables!$A$70:$A$73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PivotTables!$C$70:$C$73</c:f>
              <c:numCache>
                <c:formatCode>General</c:formatCode>
                <c:ptCount val="3"/>
                <c:pt idx="0">
                  <c:v>4.8</c:v>
                </c:pt>
                <c:pt idx="1">
                  <c:v>18.600000000000001</c:v>
                </c:pt>
                <c:pt idx="2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8-4976-88C2-69C360265E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005920"/>
        <c:axId val="1097007360"/>
      </c:barChart>
      <c:catAx>
        <c:axId val="109700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/>
                  <a:t>Risk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07360"/>
        <c:crosses val="autoZero"/>
        <c:auto val="1"/>
        <c:lblAlgn val="ctr"/>
        <c:lblOffset val="100"/>
        <c:noMultiLvlLbl val="0"/>
      </c:catAx>
      <c:valAx>
        <c:axId val="10970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800" b="1"/>
                  <a:t>Values (total incidents</a:t>
                </a:r>
                <a:r>
                  <a:rPr lang="en-AU" sz="800" b="1" baseline="0"/>
                  <a:t> and </a:t>
                </a:r>
              </a:p>
              <a:p>
                <a:pPr>
                  <a:defRPr/>
                </a:pPr>
                <a:r>
                  <a:rPr lang="en-AU" sz="800" b="1" baseline="0"/>
                  <a:t>response time in minutes</a:t>
                </a:r>
                <a:endParaRPr lang="en-AU" sz="800" b="1"/>
              </a:p>
            </c:rich>
          </c:tx>
          <c:layout>
            <c:manualLayout>
              <c:xMode val="edge"/>
              <c:yMode val="edge"/>
              <c:x val="3.2397460825277759E-2"/>
              <c:y val="0.18125474700277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0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Resolution Rates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3BEFEAC-AE51-4B48-8C70-A9D74ECEC00B}" type="VALUE">
                  <a:rPr lang="en-US" sz="800"/>
                  <a:pPr>
                    <a:defRPr/>
                  </a:pPr>
                  <a:t>[VALUE]</a:t>
                </a:fld>
                <a:endParaRPr lang="en-A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PivotTables!$B$77:$B$78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427-4168-B07C-90F27197B43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D3BEFEAC-AE51-4B48-8C70-A9D74ECEC00B}" type="VALUE">
                      <a:rPr lang="en-US" sz="800"/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427-4168-B07C-90F27197B4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PivotTables!$A$79:$A$82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PivotTables!$B$79:$B$82</c:f>
              <c:numCache>
                <c:formatCode>0.00%</c:formatCode>
                <c:ptCount val="3"/>
                <c:pt idx="0">
                  <c:v>0.22580645161290322</c:v>
                </c:pt>
                <c:pt idx="1">
                  <c:v>0.24767801857585139</c:v>
                </c:pt>
                <c:pt idx="2">
                  <c:v>0.28251121076233182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7-4168-B07C-90F27197B435}"/>
            </c:ext>
          </c:extLst>
        </c:ser>
        <c:ser>
          <c:idx val="1"/>
          <c:order val="1"/>
          <c:tx>
            <c:strRef>
              <c:f>PivotTables!$C$77:$C$78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PivotTables!$A$79:$A$82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PivotTables!$C$79:$C$82</c:f>
              <c:numCache>
                <c:formatCode>0.00%</c:formatCode>
                <c:ptCount val="3"/>
                <c:pt idx="0">
                  <c:v>0.77419354838709675</c:v>
                </c:pt>
                <c:pt idx="1">
                  <c:v>0.75232198142414863</c:v>
                </c:pt>
                <c:pt idx="2">
                  <c:v>0.71748878923766812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7-4168-B07C-90F27197B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343392"/>
        <c:axId val="910316032"/>
      </c:barChart>
      <c:catAx>
        <c:axId val="9103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16032"/>
        <c:crosses val="autoZero"/>
        <c:auto val="1"/>
        <c:lblAlgn val="ctr"/>
        <c:lblOffset val="100"/>
        <c:noMultiLvlLbl val="0"/>
      </c:catAx>
      <c:valAx>
        <c:axId val="9103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Senior Population by Risk &amp;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PivotTables!$B$2:$B$3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PivotTables!$A$4:$A$10</c:f>
              <c:strCache>
                <c:ptCount val="6"/>
                <c:pt idx="0">
                  <c:v>Adelaide</c:v>
                </c:pt>
                <c:pt idx="1">
                  <c:v>Brisbane</c:v>
                </c:pt>
                <c:pt idx="2">
                  <c:v>Canberra</c:v>
                </c:pt>
                <c:pt idx="3">
                  <c:v>Melbourne</c:v>
                </c:pt>
                <c:pt idx="4">
                  <c:v>Perth</c:v>
                </c:pt>
                <c:pt idx="5">
                  <c:v>Sydney</c:v>
                </c:pt>
              </c:strCache>
            </c:strRef>
          </c:cat>
          <c:val>
            <c:numRef>
              <c:f>PivotTables!$B$4:$B$10</c:f>
              <c:numCache>
                <c:formatCode>General</c:formatCode>
                <c:ptCount val="6"/>
                <c:pt idx="0">
                  <c:v>62</c:v>
                </c:pt>
                <c:pt idx="1">
                  <c:v>50</c:v>
                </c:pt>
                <c:pt idx="2">
                  <c:v>64</c:v>
                </c:pt>
                <c:pt idx="3">
                  <c:v>65</c:v>
                </c:pt>
                <c:pt idx="4">
                  <c:v>75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C-4D44-8099-C0DB5C7FD3AC}"/>
            </c:ext>
          </c:extLst>
        </c:ser>
        <c:ser>
          <c:idx val="1"/>
          <c:order val="1"/>
          <c:tx>
            <c:strRef>
              <c:f>PivotTables!$C$2:$C$3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PivotTables!$A$4:$A$10</c:f>
              <c:strCache>
                <c:ptCount val="6"/>
                <c:pt idx="0">
                  <c:v>Adelaide</c:v>
                </c:pt>
                <c:pt idx="1">
                  <c:v>Brisbane</c:v>
                </c:pt>
                <c:pt idx="2">
                  <c:v>Canberra</c:v>
                </c:pt>
                <c:pt idx="3">
                  <c:v>Melbourne</c:v>
                </c:pt>
                <c:pt idx="4">
                  <c:v>Perth</c:v>
                </c:pt>
                <c:pt idx="5">
                  <c:v>Sydney</c:v>
                </c:pt>
              </c:strCache>
            </c:strRef>
          </c:cat>
          <c:val>
            <c:numRef>
              <c:f>PivotTables!$C$4:$C$10</c:f>
              <c:numCache>
                <c:formatCode>General</c:formatCode>
                <c:ptCount val="6"/>
                <c:pt idx="0">
                  <c:v>56</c:v>
                </c:pt>
                <c:pt idx="1">
                  <c:v>51</c:v>
                </c:pt>
                <c:pt idx="2">
                  <c:v>61</c:v>
                </c:pt>
                <c:pt idx="3">
                  <c:v>55</c:v>
                </c:pt>
                <c:pt idx="4">
                  <c:v>57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C-4D44-8099-C0DB5C7FD3AC}"/>
            </c:ext>
          </c:extLst>
        </c:ser>
        <c:ser>
          <c:idx val="2"/>
          <c:order val="2"/>
          <c:tx>
            <c:strRef>
              <c:f>PivotTables!$D$2:$D$3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PivotTables!$A$4:$A$10</c:f>
              <c:strCache>
                <c:ptCount val="6"/>
                <c:pt idx="0">
                  <c:v>Adelaide</c:v>
                </c:pt>
                <c:pt idx="1">
                  <c:v>Brisbane</c:v>
                </c:pt>
                <c:pt idx="2">
                  <c:v>Canberra</c:v>
                </c:pt>
                <c:pt idx="3">
                  <c:v>Melbourne</c:v>
                </c:pt>
                <c:pt idx="4">
                  <c:v>Perth</c:v>
                </c:pt>
                <c:pt idx="5">
                  <c:v>Sydney</c:v>
                </c:pt>
              </c:strCache>
            </c:strRef>
          </c:cat>
          <c:val>
            <c:numRef>
              <c:f>PivotTables!$D$4:$D$10</c:f>
              <c:numCache>
                <c:formatCode>General</c:formatCode>
                <c:ptCount val="6"/>
                <c:pt idx="0">
                  <c:v>49</c:v>
                </c:pt>
                <c:pt idx="1">
                  <c:v>46</c:v>
                </c:pt>
                <c:pt idx="2">
                  <c:v>45</c:v>
                </c:pt>
                <c:pt idx="3">
                  <c:v>49</c:v>
                </c:pt>
                <c:pt idx="4">
                  <c:v>58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4C-4D44-8099-C0DB5C7FD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792528"/>
        <c:axId val="1084785808"/>
      </c:barChart>
      <c:catAx>
        <c:axId val="10847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85808"/>
        <c:crosses val="autoZero"/>
        <c:auto val="1"/>
        <c:lblAlgn val="ctr"/>
        <c:lblOffset val="100"/>
        <c:noMultiLvlLbl val="0"/>
      </c:catAx>
      <c:valAx>
        <c:axId val="10847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Incident Volume and Response Times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PivotTables!$B$14</c:f>
              <c:strCache>
                <c:ptCount val="1"/>
                <c:pt idx="0">
                  <c:v>Sum of total_incidents</c:v>
                </c:pt>
              </c:strCache>
            </c:strRef>
          </c:tx>
          <c:spPr>
            <a:solidFill>
              <a:srgbClr val="00B0F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PivotTables!$A$15:$A$39</c:f>
              <c:multiLvlStrCache>
                <c:ptCount val="18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Medium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Medium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Medium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High</c:v>
                  </c:pt>
                  <c:pt idx="16">
                    <c:v>Low</c:v>
                  </c:pt>
                  <c:pt idx="17">
                    <c:v>Medium</c:v>
                  </c:pt>
                </c:lvl>
                <c:lvl>
                  <c:pt idx="0">
                    <c:v>Adelaide</c:v>
                  </c:pt>
                  <c:pt idx="3">
                    <c:v>Brisbane</c:v>
                  </c:pt>
                  <c:pt idx="6">
                    <c:v>Canberra</c:v>
                  </c:pt>
                  <c:pt idx="9">
                    <c:v>Melbourne</c:v>
                  </c:pt>
                  <c:pt idx="12">
                    <c:v>Perth</c:v>
                  </c:pt>
                  <c:pt idx="15">
                    <c:v>Sydney</c:v>
                  </c:pt>
                </c:lvl>
              </c:multiLvlStrCache>
            </c:multiLvlStrRef>
          </c:cat>
          <c:val>
            <c:numRef>
              <c:f>PivotTables!$B$15:$B$39</c:f>
              <c:numCache>
                <c:formatCode>General</c:formatCode>
                <c:ptCount val="18"/>
                <c:pt idx="0">
                  <c:v>10</c:v>
                </c:pt>
                <c:pt idx="1">
                  <c:v>60</c:v>
                </c:pt>
                <c:pt idx="2">
                  <c:v>40</c:v>
                </c:pt>
                <c:pt idx="3">
                  <c:v>15</c:v>
                </c:pt>
                <c:pt idx="4">
                  <c:v>42</c:v>
                </c:pt>
                <c:pt idx="5">
                  <c:v>37</c:v>
                </c:pt>
                <c:pt idx="6">
                  <c:v>10</c:v>
                </c:pt>
                <c:pt idx="7">
                  <c:v>56</c:v>
                </c:pt>
                <c:pt idx="8">
                  <c:v>25</c:v>
                </c:pt>
                <c:pt idx="9">
                  <c:v>11</c:v>
                </c:pt>
                <c:pt idx="10">
                  <c:v>54</c:v>
                </c:pt>
                <c:pt idx="11">
                  <c:v>37</c:v>
                </c:pt>
                <c:pt idx="12">
                  <c:v>3</c:v>
                </c:pt>
                <c:pt idx="13">
                  <c:v>63</c:v>
                </c:pt>
                <c:pt idx="14">
                  <c:v>50</c:v>
                </c:pt>
                <c:pt idx="15">
                  <c:v>13</c:v>
                </c:pt>
                <c:pt idx="16">
                  <c:v>48</c:v>
                </c:pt>
                <c:pt idx="1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F-4621-98A3-63DDA0844332}"/>
            </c:ext>
          </c:extLst>
        </c:ser>
        <c:ser>
          <c:idx val="1"/>
          <c:order val="1"/>
          <c:tx>
            <c:strRef>
              <c:f>PivotTables!$C$14</c:f>
              <c:strCache>
                <c:ptCount val="1"/>
                <c:pt idx="0">
                  <c:v>Sum of avg_response_time</c:v>
                </c:pt>
              </c:strCache>
            </c:strRef>
          </c:tx>
          <c:spPr>
            <a:solidFill>
              <a:srgbClr val="FFFF00"/>
            </a:soli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PivotTables!$A$15:$A$39</c:f>
              <c:multiLvlStrCache>
                <c:ptCount val="18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Medium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Medium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Medium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High</c:v>
                  </c:pt>
                  <c:pt idx="16">
                    <c:v>Low</c:v>
                  </c:pt>
                  <c:pt idx="17">
                    <c:v>Medium</c:v>
                  </c:pt>
                </c:lvl>
                <c:lvl>
                  <c:pt idx="0">
                    <c:v>Adelaide</c:v>
                  </c:pt>
                  <c:pt idx="3">
                    <c:v>Brisbane</c:v>
                  </c:pt>
                  <c:pt idx="6">
                    <c:v>Canberra</c:v>
                  </c:pt>
                  <c:pt idx="9">
                    <c:v>Melbourne</c:v>
                  </c:pt>
                  <c:pt idx="12">
                    <c:v>Perth</c:v>
                  </c:pt>
                  <c:pt idx="15">
                    <c:v>Sydney</c:v>
                  </c:pt>
                </c:lvl>
              </c:multiLvlStrCache>
            </c:multiLvlStrRef>
          </c:cat>
          <c:val>
            <c:numRef>
              <c:f>PivotTables!$C$15:$C$39</c:f>
              <c:numCache>
                <c:formatCode>General</c:formatCode>
                <c:ptCount val="18"/>
                <c:pt idx="0">
                  <c:v>3.7</c:v>
                </c:pt>
                <c:pt idx="1">
                  <c:v>19.600000000000001</c:v>
                </c:pt>
                <c:pt idx="2">
                  <c:v>8.4</c:v>
                </c:pt>
                <c:pt idx="3">
                  <c:v>5.3</c:v>
                </c:pt>
                <c:pt idx="4">
                  <c:v>18.600000000000001</c:v>
                </c:pt>
                <c:pt idx="5">
                  <c:v>9.4</c:v>
                </c:pt>
                <c:pt idx="6">
                  <c:v>5.3</c:v>
                </c:pt>
                <c:pt idx="7">
                  <c:v>16.7</c:v>
                </c:pt>
                <c:pt idx="8">
                  <c:v>9.5</c:v>
                </c:pt>
                <c:pt idx="9">
                  <c:v>5.0999999999999996</c:v>
                </c:pt>
                <c:pt idx="10">
                  <c:v>19</c:v>
                </c:pt>
                <c:pt idx="11">
                  <c:v>7.7</c:v>
                </c:pt>
                <c:pt idx="12">
                  <c:v>1.7</c:v>
                </c:pt>
                <c:pt idx="13">
                  <c:v>19.399999999999999</c:v>
                </c:pt>
                <c:pt idx="14">
                  <c:v>10</c:v>
                </c:pt>
                <c:pt idx="15">
                  <c:v>5.3</c:v>
                </c:pt>
                <c:pt idx="16">
                  <c:v>18.399999999999999</c:v>
                </c:pt>
                <c:pt idx="1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F-4621-98A3-63DDA0844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4790128"/>
        <c:axId val="1084802128"/>
      </c:barChart>
      <c:catAx>
        <c:axId val="10847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02128"/>
        <c:crosses val="autoZero"/>
        <c:auto val="1"/>
        <c:lblAlgn val="ctr"/>
        <c:lblOffset val="100"/>
        <c:noMultiLvlLbl val="0"/>
      </c:catAx>
      <c:valAx>
        <c:axId val="10848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9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Unresolved Cases by Incident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PivotTables!$A$87:$A$92</c:f>
              <c:strCache>
                <c:ptCount val="5"/>
                <c:pt idx="0">
                  <c:v>Fall</c:v>
                </c:pt>
                <c:pt idx="1">
                  <c:v>Medical Emergency</c:v>
                </c:pt>
                <c:pt idx="2">
                  <c:v>Fire Alarm</c:v>
                </c:pt>
                <c:pt idx="3">
                  <c:v>Wandering</c:v>
                </c:pt>
                <c:pt idx="4">
                  <c:v>Medication Error</c:v>
                </c:pt>
              </c:strCache>
            </c:strRef>
          </c:cat>
          <c:val>
            <c:numRef>
              <c:f>PivotTables!$B$87:$B$92</c:f>
              <c:numCache>
                <c:formatCode>General</c:formatCode>
                <c:ptCount val="5"/>
                <c:pt idx="0">
                  <c:v>66</c:v>
                </c:pt>
                <c:pt idx="1">
                  <c:v>40</c:v>
                </c:pt>
                <c:pt idx="2">
                  <c:v>21</c:v>
                </c:pt>
                <c:pt idx="3">
                  <c:v>18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F-4A84-A3A2-C9FD625F8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040960"/>
        <c:axId val="1097048160"/>
      </c:barChart>
      <c:catAx>
        <c:axId val="109704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48160"/>
        <c:crosses val="autoZero"/>
        <c:auto val="1"/>
        <c:lblAlgn val="ctr"/>
        <c:lblOffset val="100"/>
        <c:noMultiLvlLbl val="0"/>
      </c:catAx>
      <c:valAx>
        <c:axId val="109704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[dashboard.xlsx]PivotTables!PivotTable12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Health Metrics before</a:t>
            </a:r>
            <a:r>
              <a:rPr lang="en-AU" baseline="0"/>
              <a:t> Incidents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931E-2"/>
            </c:manualLayout>
          </c:layout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1.8518518518518517E-2"/>
            </c:manualLayout>
          </c:layout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111111111111112E-2"/>
              <c:y val="-5.55555555555555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3835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1.3888888888888931E-2"/>
            </c:manualLayout>
          </c:layout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1.8518518518518517E-2"/>
            </c:manualLayout>
          </c:layout>
          <c:numFmt formatCode="#,##0_);\(#,##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111111111111112E-2"/>
              <c:y val="-5.55555555555555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333333333333835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PivotTables!$B$96</c:f>
              <c:strCache>
                <c:ptCount val="1"/>
                <c:pt idx="0">
                  <c:v>Sum of avg_steps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270-473F-A6A6-601A81C3485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270-473F-A6A6-601A81C3485D}"/>
              </c:ext>
            </c:extLst>
          </c:dPt>
          <c:dLbls>
            <c:dLbl>
              <c:idx val="0"/>
              <c:layout>
                <c:manualLayout>
                  <c:x val="0"/>
                  <c:y val="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70-473F-A6A6-601A81C3485D}"/>
                </c:ext>
              </c:extLst>
            </c:dLbl>
            <c:dLbl>
              <c:idx val="1"/>
              <c:layout>
                <c:manualLayout>
                  <c:x val="0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70-473F-A6A6-601A81C3485D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PivotTables!$A$97:$A$102</c:f>
              <c:strCache>
                <c:ptCount val="5"/>
                <c:pt idx="0">
                  <c:v>Medication Error</c:v>
                </c:pt>
                <c:pt idx="1">
                  <c:v>Fall</c:v>
                </c:pt>
                <c:pt idx="2">
                  <c:v>Wandering</c:v>
                </c:pt>
                <c:pt idx="3">
                  <c:v>Medical Emergency</c:v>
                </c:pt>
                <c:pt idx="4">
                  <c:v>Fire Alarm</c:v>
                </c:pt>
              </c:strCache>
            </c:strRef>
          </c:cat>
          <c:val>
            <c:numRef>
              <c:f>PivotTables!$B$97:$B$102</c:f>
              <c:numCache>
                <c:formatCode>General</c:formatCode>
                <c:ptCount val="5"/>
                <c:pt idx="0">
                  <c:v>6596</c:v>
                </c:pt>
                <c:pt idx="1">
                  <c:v>6724</c:v>
                </c:pt>
                <c:pt idx="2">
                  <c:v>6780</c:v>
                </c:pt>
                <c:pt idx="3">
                  <c:v>6833</c:v>
                </c:pt>
                <c:pt idx="4">
                  <c:v>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0-473F-A6A6-601A81C34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053440"/>
        <c:axId val="1097054400"/>
      </c:barChart>
      <c:lineChart>
        <c:grouping val="standard"/>
        <c:varyColors val="0"/>
        <c:ser>
          <c:idx val="1"/>
          <c:order val="1"/>
          <c:tx>
            <c:strRef>
              <c:f>PivotTables!$C$96</c:f>
              <c:strCache>
                <c:ptCount val="1"/>
                <c:pt idx="0">
                  <c:v>Sum of avg_heart_rate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5270-473F-A6A6-601A81C3485D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5270-473F-A6A6-601A81C3485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5270-473F-A6A6-601A81C3485D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5270-473F-A6A6-601A81C3485D}"/>
              </c:ext>
            </c:extLst>
          </c:dPt>
          <c:dLbls>
            <c:dLbl>
              <c:idx val="0"/>
              <c:layout>
                <c:manualLayout>
                  <c:x val="-1.1111111111111112E-2"/>
                  <c:y val="-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70-473F-A6A6-601A81C3485D}"/>
                </c:ext>
              </c:extLst>
            </c:dLbl>
            <c:dLbl>
              <c:idx val="1"/>
              <c:layout>
                <c:manualLayout>
                  <c:x val="-8.3333333333333835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70-473F-A6A6-601A81C3485D}"/>
                </c:ext>
              </c:extLst>
            </c:dLbl>
            <c:dLbl>
              <c:idx val="2"/>
              <c:layout>
                <c:manualLayout>
                  <c:x val="0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70-473F-A6A6-601A81C3485D}"/>
                </c:ext>
              </c:extLst>
            </c:dLbl>
            <c:dLbl>
              <c:idx val="3"/>
              <c:layout>
                <c:manualLayout>
                  <c:x val="0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70-473F-A6A6-601A81C348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PivotTables!$A$97:$A$102</c:f>
              <c:strCache>
                <c:ptCount val="5"/>
                <c:pt idx="0">
                  <c:v>Medication Error</c:v>
                </c:pt>
                <c:pt idx="1">
                  <c:v>Fall</c:v>
                </c:pt>
                <c:pt idx="2">
                  <c:v>Wandering</c:v>
                </c:pt>
                <c:pt idx="3">
                  <c:v>Medical Emergency</c:v>
                </c:pt>
                <c:pt idx="4">
                  <c:v>Fire Alarm</c:v>
                </c:pt>
              </c:strCache>
            </c:strRef>
          </c:cat>
          <c:val>
            <c:numRef>
              <c:f>PivotTables!$C$97:$C$102</c:f>
              <c:numCache>
                <c:formatCode>General</c:formatCode>
                <c:ptCount val="5"/>
                <c:pt idx="0">
                  <c:v>74.599999999999994</c:v>
                </c:pt>
                <c:pt idx="1">
                  <c:v>74.900000000000006</c:v>
                </c:pt>
                <c:pt idx="2">
                  <c:v>73.900000000000006</c:v>
                </c:pt>
                <c:pt idx="3">
                  <c:v>73.599999999999994</c:v>
                </c:pt>
                <c:pt idx="4">
                  <c:v>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70-473F-A6A6-601A81C34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335712"/>
        <c:axId val="910323232"/>
      </c:lineChart>
      <c:catAx>
        <c:axId val="109705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Incident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54400"/>
        <c:crosses val="autoZero"/>
        <c:auto val="1"/>
        <c:lblAlgn val="ctr"/>
        <c:lblOffset val="100"/>
        <c:noMultiLvlLbl val="0"/>
      </c:catAx>
      <c:valAx>
        <c:axId val="10970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8643299795858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53440"/>
        <c:crosses val="autoZero"/>
        <c:crossBetween val="between"/>
      </c:valAx>
      <c:valAx>
        <c:axId val="910323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Values</a:t>
                </a:r>
              </a:p>
            </c:rich>
          </c:tx>
          <c:layout>
            <c:manualLayout>
              <c:xMode val="edge"/>
              <c:yMode val="edge"/>
              <c:x val="0.94109711286089237"/>
              <c:y val="0.26294437153689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335712"/>
        <c:crosses val="max"/>
        <c:crossBetween val="between"/>
      </c:valAx>
      <c:catAx>
        <c:axId val="91033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032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2</xdr:row>
      <xdr:rowOff>99060</xdr:rowOff>
    </xdr:from>
    <xdr:to>
      <xdr:col>15</xdr:col>
      <xdr:colOff>388620</xdr:colOff>
      <xdr:row>14</xdr:row>
      <xdr:rowOff>91440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8646DC0-7FF4-1D49-1F92-1FEFB0C7F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</xdr:colOff>
      <xdr:row>15</xdr:row>
      <xdr:rowOff>7620</xdr:rowOff>
    </xdr:from>
    <xdr:to>
      <xdr:col>8</xdr:col>
      <xdr:colOff>114300</xdr:colOff>
      <xdr:row>26</xdr:row>
      <xdr:rowOff>15240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36CDF3B6-267C-278B-9B98-B1E078095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91440</xdr:rowOff>
    </xdr:from>
    <xdr:to>
      <xdr:col>23</xdr:col>
      <xdr:colOff>381000</xdr:colOff>
      <xdr:row>18</xdr:row>
      <xdr:rowOff>15240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8DC7ED2F-5CB9-C985-6CE8-8F4A7FC44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205740</xdr:colOff>
      <xdr:row>15</xdr:row>
      <xdr:rowOff>22860</xdr:rowOff>
    </xdr:from>
    <xdr:to>
      <xdr:col>15</xdr:col>
      <xdr:colOff>365760</xdr:colOff>
      <xdr:row>26</xdr:row>
      <xdr:rowOff>7620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A9947ED8-1B64-DC1C-E0ED-6AC064D8A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15240</xdr:colOff>
      <xdr:row>18</xdr:row>
      <xdr:rowOff>106680</xdr:rowOff>
    </xdr:from>
    <xdr:to>
      <xdr:col>23</xdr:col>
      <xdr:colOff>381000</xdr:colOff>
      <xdr:row>25</xdr:row>
      <xdr:rowOff>167640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1994A94-A15C-7321-0220-8429F2E0ABBE}"/>
            </a:ext>
          </a:extLst>
        </xdr:cNvPr>
        <xdr:cNvSpPr/>
      </xdr:nvSpPr>
      <xdr:spPr>
        <a:xfrm>
          <a:off x="9624060" y="3680460"/>
          <a:ext cx="4328160" cy="13411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400" b="1"/>
            <a:t>KEY</a:t>
          </a:r>
          <a:r>
            <a:rPr lang="en-AU" sz="1400" b="1" baseline="0"/>
            <a:t> INSIGHTS AND FINDINGS</a:t>
          </a:r>
        </a:p>
        <a:p>
          <a:pPr algn="ctr"/>
          <a:r>
            <a:rPr lang="en-AU" sz="1100"/>
            <a:t>1.</a:t>
          </a:r>
          <a:r>
            <a:rPr lang="en-AU" sz="1100" baseline="0"/>
            <a:t> </a:t>
          </a:r>
          <a:r>
            <a:rPr lang="en-AU" sz="1100"/>
            <a:t>Stable</a:t>
          </a:r>
          <a:r>
            <a:rPr lang="en-AU" sz="1100" baseline="0"/>
            <a:t> safety - 34-62 incidents per month</a:t>
          </a:r>
        </a:p>
        <a:p>
          <a:pPr algn="ctr"/>
          <a:r>
            <a:rPr lang="en-AU" sz="1100" baseline="0"/>
            <a:t>2. Falls = 38% of incidents (233 total)</a:t>
          </a:r>
        </a:p>
        <a:p>
          <a:pPr algn="ctr"/>
          <a:r>
            <a:rPr lang="en-AU" sz="1100" baseline="0"/>
            <a:t>3. Fast response: 4.8 minutes for high-severity</a:t>
          </a:r>
        </a:p>
        <a:p>
          <a:pPr algn="ctr"/>
          <a:r>
            <a:rPr lang="en-AU" sz="1100" baseline="0"/>
            <a:t>4. Strong Outcomes: 77.4% resolution rate</a:t>
          </a:r>
        </a:p>
        <a:p>
          <a:pPr algn="ctr"/>
          <a:r>
            <a:rPr lang="en-AU" sz="1100" baseline="0"/>
            <a:t>5. Perth high-risk: 75 residents (highest)</a:t>
          </a:r>
        </a:p>
        <a:p>
          <a:pPr algn="ctr"/>
          <a:r>
            <a:rPr lang="en-AU" sz="1100" baseline="0"/>
            <a:t>6. No extreme-risk cases</a:t>
          </a:r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327666</xdr:colOff>
      <xdr:row>1</xdr:row>
      <xdr:rowOff>22860</xdr:rowOff>
    </xdr:from>
    <xdr:to>
      <xdr:col>8</xdr:col>
      <xdr:colOff>22866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AE38F-4FC9-7830-B4B5-4DD5F6D62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312420</xdr:colOff>
      <xdr:row>17</xdr:row>
      <xdr:rowOff>7620</xdr:rowOff>
    </xdr:from>
    <xdr:to>
      <xdr:col>8</xdr:col>
      <xdr:colOff>7620</xdr:colOff>
      <xdr:row>32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953D3-EAD7-7A3F-8ABE-A655575A7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32</xdr:row>
      <xdr:rowOff>99060</xdr:rowOff>
    </xdr:from>
    <xdr:to>
      <xdr:col>8</xdr:col>
      <xdr:colOff>15240</xdr:colOff>
      <xdr:row>47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B183DF-3684-37F7-206C-0F306D717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327660</xdr:colOff>
      <xdr:row>48</xdr:row>
      <xdr:rowOff>30480</xdr:rowOff>
    </xdr:from>
    <xdr:to>
      <xdr:col>8</xdr:col>
      <xdr:colOff>22860</xdr:colOff>
      <xdr:row>63</xdr:row>
      <xdr:rowOff>30480</xdr:rowOff>
    </xdr:to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761348BD-8F48-BAA5-3C4A-21D7EC24D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64221990739" createdVersion="8" refreshedVersion="8" minRefreshableVersion="3" recordCount="18" xr:uid="{CC22C08C-747B-4BFA-953B-BAC910678531}">
  <cacheSource type="worksheet">
    <worksheetSource ref="A1:D19" sheet="Q1_Population"/>
  </cacheSource>
  <cacheFields count="4">
    <cacheField name="location" numFmtId="0">
      <sharedItems count="6">
        <s v="Adelaide"/>
        <s v="Brisbane"/>
        <s v="Canberra"/>
        <s v="Melbourne"/>
        <s v="Perth"/>
        <s v="Sydney"/>
      </sharedItems>
    </cacheField>
    <cacheField name="risk_category" numFmtId="0">
      <sharedItems count="3">
        <s v="High"/>
        <s v="Low"/>
        <s v="Medium"/>
      </sharedItems>
    </cacheField>
    <cacheField name="total_seniors" numFmtId="0">
      <sharedItems containsSemiMixedTypes="0" containsString="0" containsNumber="1" containsInteger="1" minValue="45" maxValue="75"/>
    </cacheField>
    <cacheField name="avg_age" numFmtId="0">
      <sharedItems containsSemiMixedTypes="0" containsString="0" containsNumber="1" minValue="68.5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6862928241" createdVersion="8" refreshedVersion="8" minRefreshableVersion="3" recordCount="18" xr:uid="{5F0ECF16-473D-4435-857D-90A821793FAD}">
  <cacheSource type="worksheet">
    <worksheetSource ref="A1:D19" sheet="Q2_Geographic"/>
  </cacheSource>
  <cacheFields count="4">
    <cacheField name="location" numFmtId="0">
      <sharedItems count="6">
        <s v="Adelaide"/>
        <s v="Brisbane"/>
        <s v="Canberra"/>
        <s v="Melbourne"/>
        <s v="Perth"/>
        <s v="Sydney"/>
      </sharedItems>
    </cacheField>
    <cacheField name="severity" numFmtId="0">
      <sharedItems count="3">
        <s v="Low"/>
        <s v="Medium"/>
        <s v="High"/>
      </sharedItems>
    </cacheField>
    <cacheField name="total_incidents" numFmtId="0">
      <sharedItems containsSemiMixedTypes="0" containsString="0" containsNumber="1" containsInteger="1" minValue="3" maxValue="63"/>
    </cacheField>
    <cacheField name="avg_response_time" numFmtId="0">
      <sharedItems containsSemiMixedTypes="0" containsString="0" containsNumber="1" minValue="1.7" maxValue="19.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71793518517" createdVersion="8" refreshedVersion="8" minRefreshableVersion="3" recordCount="12" xr:uid="{4D342BAC-7AA6-4813-961E-D078D2464CBD}">
  <cacheSource type="worksheet">
    <worksheetSource ref="A1:C13" sheet="Q3_MonthlyTrends"/>
  </cacheSource>
  <cacheFields count="3">
    <cacheField name="month" numFmtId="0">
      <sharedItems count="12"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</sharedItems>
    </cacheField>
    <cacheField name="total_incidents" numFmtId="0">
      <sharedItems containsSemiMixedTypes="0" containsString="0" containsNumber="1" containsInteger="1" minValue="34" maxValue="62"/>
    </cacheField>
    <cacheField name="high_severity_incidents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73406481482" createdVersion="8" refreshedVersion="8" minRefreshableVersion="3" recordCount="15" xr:uid="{8230394C-9943-4EFE-9655-CBD9C071A38B}">
  <cacheSource type="worksheet">
    <worksheetSource ref="A1:C16" sheet="Q4_IncidentTypes"/>
  </cacheSource>
  <cacheFields count="3">
    <cacheField name="risk_category" numFmtId="0">
      <sharedItems count="3">
        <s v="High"/>
        <s v="Low"/>
        <s v="Medium"/>
      </sharedItems>
    </cacheField>
    <cacheField name="incident_type" numFmtId="0">
      <sharedItems count="5">
        <s v="Fall"/>
        <s v="Medical Emergency"/>
        <s v="Wandering"/>
        <s v="Fire Alarm"/>
        <s v="Medication Error"/>
      </sharedItems>
    </cacheField>
    <cacheField name="total_incidents" numFmtId="0">
      <sharedItems containsSemiMixedTypes="0" containsString="0" containsNumber="1" containsInteger="1" minValue="7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75999537039" createdVersion="8" refreshedVersion="8" minRefreshableVersion="3" recordCount="3" xr:uid="{8B60D732-4F5E-42A0-A8C7-F5FEACF87630}">
  <cacheSource type="worksheet">
    <worksheetSource ref="A1:C4" sheet="Q5_ResponseTimes"/>
  </cacheSource>
  <cacheFields count="3">
    <cacheField name="severity" numFmtId="0">
      <sharedItems count="3">
        <s v="High"/>
        <s v="Low"/>
        <s v="Medium"/>
      </sharedItems>
    </cacheField>
    <cacheField name="total_incidents" numFmtId="0">
      <sharedItems containsSemiMixedTypes="0" containsString="0" containsNumber="1" containsInteger="1" minValue="62" maxValue="323"/>
    </cacheField>
    <cacheField name="avg_response_time" numFmtId="0">
      <sharedItems containsSemiMixedTypes="0" containsString="0" containsNumber="1" minValue="4.8" maxValue="18.6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77605902778" createdVersion="8" refreshedVersion="8" minRefreshableVersion="3" recordCount="6" xr:uid="{DC7B24BA-96C0-435A-A044-8D812A177C91}">
  <cacheSource type="worksheet">
    <worksheetSource ref="A1:C7" sheet="Q6.1_ResolutionRateBySeverity"/>
  </cacheSource>
  <cacheFields count="3">
    <cacheField name="severity" numFmtId="0">
      <sharedItems count="3">
        <s v="High"/>
        <s v="Low"/>
        <s v="Medium"/>
      </sharedItems>
    </cacheField>
    <cacheField name="resolved" numFmtId="0">
      <sharedItems count="2">
        <s v="No"/>
        <s v="Yes"/>
      </sharedItems>
    </cacheField>
    <cacheField name="total_incidents" numFmtId="0">
      <sharedItems containsSemiMixedTypes="0" containsString="0" containsNumber="1" containsInteger="1" minValue="14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86307060184" createdVersion="8" refreshedVersion="8" minRefreshableVersion="3" recordCount="5" xr:uid="{FD2841AB-FC8E-4AB1-ACB8-6154AC7692F9}">
  <cacheSource type="worksheet">
    <worksheetSource ref="A1:B6" sheet="Q6.2_UnresolvedCasesByIncident"/>
  </cacheSource>
  <cacheFields count="2">
    <cacheField name="incident_type" numFmtId="0">
      <sharedItems count="5">
        <s v="Fall"/>
        <s v="Medical Emergency"/>
        <s v="Fire Alarm"/>
        <s v="Wandering"/>
        <s v="Medication Error"/>
      </sharedItems>
    </cacheField>
    <cacheField name="unresolved_cases" numFmtId="0">
      <sharedItems containsSemiMixedTypes="0" containsString="0" containsNumber="1" containsInteger="1" minValue="12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1451" refreshedDate="46058.588374189814" createdVersion="8" refreshedVersion="8" minRefreshableVersion="3" recordCount="5" xr:uid="{B22F34F3-3E2C-4ED1-9063-E7E9630FA886}">
  <cacheSource type="worksheet">
    <worksheetSource ref="A1:C6" sheet="Q7_HealthMetrics"/>
  </cacheSource>
  <cacheFields count="3">
    <cacheField name="incident_type" numFmtId="0">
      <sharedItems count="5">
        <s v="Medication Error"/>
        <s v="Fall"/>
        <s v="Wandering"/>
        <s v="Medical Emergency"/>
        <s v="Fire Alarm"/>
      </sharedItems>
    </cacheField>
    <cacheField name="avg_steps" numFmtId="0">
      <sharedItems containsSemiMixedTypes="0" containsString="0" containsNumber="1" containsInteger="1" minValue="6596" maxValue="6996"/>
    </cacheField>
    <cacheField name="avg_heart_rate" numFmtId="0">
      <sharedItems containsSemiMixedTypes="0" containsString="0" containsNumber="1" minValue="73.3" maxValue="74.9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62"/>
    <n v="90"/>
  </r>
  <r>
    <x v="0"/>
    <x v="1"/>
    <n v="56"/>
    <n v="70.099999999999994"/>
  </r>
  <r>
    <x v="0"/>
    <x v="2"/>
    <n v="49"/>
    <n v="80"/>
  </r>
  <r>
    <x v="1"/>
    <x v="0"/>
    <n v="50"/>
    <n v="89.9"/>
  </r>
  <r>
    <x v="1"/>
    <x v="1"/>
    <n v="51"/>
    <n v="69.2"/>
  </r>
  <r>
    <x v="1"/>
    <x v="2"/>
    <n v="46"/>
    <n v="79.900000000000006"/>
  </r>
  <r>
    <x v="2"/>
    <x v="0"/>
    <n v="64"/>
    <n v="89.3"/>
  </r>
  <r>
    <x v="2"/>
    <x v="1"/>
    <n v="61"/>
    <n v="69"/>
  </r>
  <r>
    <x v="2"/>
    <x v="2"/>
    <n v="45"/>
    <n v="79.7"/>
  </r>
  <r>
    <x v="3"/>
    <x v="0"/>
    <n v="65"/>
    <n v="89.5"/>
  </r>
  <r>
    <x v="3"/>
    <x v="1"/>
    <n v="55"/>
    <n v="68.5"/>
  </r>
  <r>
    <x v="3"/>
    <x v="2"/>
    <n v="49"/>
    <n v="80.099999999999994"/>
  </r>
  <r>
    <x v="4"/>
    <x v="0"/>
    <n v="75"/>
    <n v="89.7"/>
  </r>
  <r>
    <x v="4"/>
    <x v="1"/>
    <n v="57"/>
    <n v="69.2"/>
  </r>
  <r>
    <x v="4"/>
    <x v="2"/>
    <n v="58"/>
    <n v="79.2"/>
  </r>
  <r>
    <x v="5"/>
    <x v="0"/>
    <n v="55"/>
    <n v="89.6"/>
  </r>
  <r>
    <x v="5"/>
    <x v="1"/>
    <n v="48"/>
    <n v="69.099999999999994"/>
  </r>
  <r>
    <x v="5"/>
    <x v="2"/>
    <n v="54"/>
    <n v="79.0999999999999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60"/>
    <n v="19.600000000000001"/>
  </r>
  <r>
    <x v="0"/>
    <x v="1"/>
    <n v="40"/>
    <n v="8.4"/>
  </r>
  <r>
    <x v="0"/>
    <x v="2"/>
    <n v="10"/>
    <n v="3.7"/>
  </r>
  <r>
    <x v="1"/>
    <x v="0"/>
    <n v="42"/>
    <n v="18.600000000000001"/>
  </r>
  <r>
    <x v="1"/>
    <x v="1"/>
    <n v="37"/>
    <n v="9.4"/>
  </r>
  <r>
    <x v="1"/>
    <x v="2"/>
    <n v="15"/>
    <n v="5.3"/>
  </r>
  <r>
    <x v="2"/>
    <x v="0"/>
    <n v="56"/>
    <n v="16.7"/>
  </r>
  <r>
    <x v="2"/>
    <x v="1"/>
    <n v="25"/>
    <n v="9.5"/>
  </r>
  <r>
    <x v="2"/>
    <x v="2"/>
    <n v="10"/>
    <n v="5.3"/>
  </r>
  <r>
    <x v="3"/>
    <x v="0"/>
    <n v="54"/>
    <n v="19"/>
  </r>
  <r>
    <x v="3"/>
    <x v="1"/>
    <n v="37"/>
    <n v="7.7"/>
  </r>
  <r>
    <x v="3"/>
    <x v="2"/>
    <n v="11"/>
    <n v="5.0999999999999996"/>
  </r>
  <r>
    <x v="4"/>
    <x v="0"/>
    <n v="63"/>
    <n v="19.399999999999999"/>
  </r>
  <r>
    <x v="4"/>
    <x v="1"/>
    <n v="50"/>
    <n v="10"/>
  </r>
  <r>
    <x v="4"/>
    <x v="2"/>
    <n v="3"/>
    <n v="1.7"/>
  </r>
  <r>
    <x v="5"/>
    <x v="0"/>
    <n v="48"/>
    <n v="18.399999999999999"/>
  </r>
  <r>
    <x v="5"/>
    <x v="1"/>
    <n v="34"/>
    <n v="9.4"/>
  </r>
  <r>
    <x v="5"/>
    <x v="2"/>
    <n v="13"/>
    <n v="5.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53"/>
    <n v="6"/>
  </r>
  <r>
    <x v="1"/>
    <n v="53"/>
    <n v="4"/>
  </r>
  <r>
    <x v="2"/>
    <n v="62"/>
    <n v="6"/>
  </r>
  <r>
    <x v="3"/>
    <n v="47"/>
    <n v="7"/>
  </r>
  <r>
    <x v="4"/>
    <n v="53"/>
    <n v="8"/>
  </r>
  <r>
    <x v="5"/>
    <n v="46"/>
    <n v="2"/>
  </r>
  <r>
    <x v="6"/>
    <n v="57"/>
    <n v="2"/>
  </r>
  <r>
    <x v="7"/>
    <n v="51"/>
    <n v="8"/>
  </r>
  <r>
    <x v="8"/>
    <n v="34"/>
    <n v="5"/>
  </r>
  <r>
    <x v="9"/>
    <n v="54"/>
    <n v="6"/>
  </r>
  <r>
    <x v="10"/>
    <n v="49"/>
    <n v="3"/>
  </r>
  <r>
    <x v="11"/>
    <n v="49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90"/>
  </r>
  <r>
    <x v="0"/>
    <x v="1"/>
    <n v="65"/>
  </r>
  <r>
    <x v="0"/>
    <x v="2"/>
    <n v="32"/>
  </r>
  <r>
    <x v="0"/>
    <x v="3"/>
    <n v="29"/>
  </r>
  <r>
    <x v="0"/>
    <x v="4"/>
    <n v="21"/>
  </r>
  <r>
    <x v="1"/>
    <x v="0"/>
    <n v="70"/>
  </r>
  <r>
    <x v="1"/>
    <x v="1"/>
    <n v="56"/>
  </r>
  <r>
    <x v="1"/>
    <x v="3"/>
    <n v="38"/>
  </r>
  <r>
    <x v="1"/>
    <x v="2"/>
    <n v="26"/>
  </r>
  <r>
    <x v="1"/>
    <x v="4"/>
    <n v="7"/>
  </r>
  <r>
    <x v="2"/>
    <x v="0"/>
    <n v="73"/>
  </r>
  <r>
    <x v="2"/>
    <x v="1"/>
    <n v="43"/>
  </r>
  <r>
    <x v="2"/>
    <x v="3"/>
    <n v="22"/>
  </r>
  <r>
    <x v="2"/>
    <x v="2"/>
    <n v="19"/>
  </r>
  <r>
    <x v="2"/>
    <x v="4"/>
    <n v="1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2"/>
    <n v="4.8"/>
  </r>
  <r>
    <x v="1"/>
    <n v="323"/>
    <n v="18.600000000000001"/>
  </r>
  <r>
    <x v="2"/>
    <n v="223"/>
    <n v="9.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4"/>
  </r>
  <r>
    <x v="0"/>
    <x v="1"/>
    <n v="48"/>
  </r>
  <r>
    <x v="1"/>
    <x v="0"/>
    <n v="80"/>
  </r>
  <r>
    <x v="1"/>
    <x v="1"/>
    <n v="243"/>
  </r>
  <r>
    <x v="2"/>
    <x v="0"/>
    <n v="63"/>
  </r>
  <r>
    <x v="2"/>
    <x v="1"/>
    <n v="16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6"/>
  </r>
  <r>
    <x v="1"/>
    <n v="40"/>
  </r>
  <r>
    <x v="2"/>
    <n v="21"/>
  </r>
  <r>
    <x v="3"/>
    <n v="18"/>
  </r>
  <r>
    <x v="4"/>
    <n v="1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596"/>
    <n v="74.599999999999994"/>
  </r>
  <r>
    <x v="1"/>
    <n v="6724"/>
    <n v="74.900000000000006"/>
  </r>
  <r>
    <x v="2"/>
    <n v="6780"/>
    <n v="73.900000000000006"/>
  </r>
  <r>
    <x v="3"/>
    <n v="6833"/>
    <n v="73.599999999999994"/>
  </r>
  <r>
    <x v="4"/>
    <n v="6996"/>
    <n v="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396C2-C38C-41E4-9AB3-1A2A56950D77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6:C102" firstHeaderRow="0" firstDataRow="1" firstDataCol="1"/>
  <pivotFields count="3">
    <pivotField axis="axisRow" showAll="0" sortType="ascending">
      <items count="6">
        <item x="1"/>
        <item x="4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6">
    <i>
      <x v="3"/>
    </i>
    <i>
      <x/>
    </i>
    <i>
      <x v="4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steps" fld="1" baseField="0" baseItem="0"/>
    <dataField name="Sum of avg_heart_rate" fld="2" baseField="0" baseItem="0"/>
  </dataFields>
  <chartFormats count="8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705D3-E387-42F2-9961-C35ABC58F130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6:B92" firstHeaderRow="1" firstDataRow="1" firstDataCol="1"/>
  <pivotFields count="2">
    <pivotField axis="axisRow" showAll="0" sortType="descending">
      <items count="6">
        <item x="0"/>
        <item x="2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unresolved_cases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39353-D6EF-4A69-9DC8-CF6F0FB2FA4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C39" firstHeaderRow="0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ncidents" fld="2" baseField="0" baseItem="0"/>
    <dataField name="Sum of avg_response_time" fld="3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F7E20-17D1-4895-8244-FBC993964F5F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7:D82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_incidents" fld="2" showDataAs="percentOfRow" baseField="0" baseItem="0" numFmtId="10"/>
  </dataFields>
  <chartFormats count="3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61D35-C2F1-4F54-8481-8E15277AC3E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E10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seniors" fld="2" baseField="0" baseItem="0"/>
  </dataFields>
  <chartFormats count="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3EE28-EB8A-4E5F-B098-7C5AC39F0A48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9:C73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ncidents" fld="1" baseField="0" baseItem="0"/>
    <dataField name="Sum of avg_response_time" fld="2" baseField="0" baseItem="0"/>
  </dataFields>
  <chartFormats count="8"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78305-0AD5-4025-ADCC-5B64F092992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0:G65" firstHeaderRow="1" firstDataRow="2" firstDataCol="1"/>
  <pivotFields count="3"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axis="axisCol" showAll="0">
      <items count="6">
        <item x="0"/>
        <item x="3"/>
        <item x="1"/>
        <item x="4"/>
        <item x="2"/>
        <item t="default"/>
      </items>
    </pivotField>
    <pivotField dataField="1" showAll="0"/>
  </pivotFields>
  <rowFields count="1">
    <field x="0"/>
  </rowFields>
  <rowItems count="4">
    <i>
      <x/>
    </i>
    <i>
      <x v="2"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incidents" fld="2" baseField="0" baseItem="0"/>
  </dataFields>
  <chartFormats count="5"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DB4CB-67DA-4E5E-BE02-F1C523BD0E0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3:C5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incidents" fld="1" baseField="0" baseItem="0"/>
    <dataField name="Sum of high_severity_incidents" fld="2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1" connectionId="1" xr16:uid="{F42284A9-2DA9-44AB-AF3F-C9A40F5DB0C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2" connectionId="2" xr16:uid="{EAC06B57-28D1-45CE-8887-2975D349415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3" connectionId="3" xr16:uid="{6E055CEE-5816-4A06-8135-2769E35D16B1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4" connectionId="4" xr16:uid="{E3332797-CA40-497F-A9CA-05C6A0233CD8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5" connectionId="5" xr16:uid="{5EFEB997-1771-41F5-B27B-428CBCE9E9CD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6" connectionId="6" xr16:uid="{C26D69A7-4372-4EA0-B4DD-24EFD824F871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6 deeper findings" connectionId="7" xr16:uid="{A8C16FFC-1B8A-40C2-AB19-86F58BB1AB63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7" connectionId="8" xr16:uid="{0F332884-D592-4AEB-82BF-ECEA263D4926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8" connectionId="9" xr16:uid="{67B92849-9315-46FA-96D9-96CF9E94F59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26E0-39D2-4972-88B4-61E933514CD4}">
  <dimension ref="A1:X29"/>
  <sheetViews>
    <sheetView tabSelected="1" workbookViewId="0">
      <selection activeCell="B1" sqref="B1:V1"/>
    </sheetView>
  </sheetViews>
  <sheetFormatPr defaultRowHeight="14.4" x14ac:dyDescent="0.3"/>
  <cols>
    <col min="1" max="15" width="8.88671875" style="11"/>
    <col min="16" max="16" width="6.77734375" style="11" customWidth="1"/>
    <col min="17" max="17" width="8.88671875" style="11" customWidth="1"/>
    <col min="18" max="18" width="4.44140625" style="11" customWidth="1"/>
    <col min="19" max="30" width="8.88671875" style="11"/>
    <col min="31" max="31" width="8.88671875" style="11" customWidth="1"/>
    <col min="32" max="16384" width="8.88671875" style="11"/>
  </cols>
  <sheetData>
    <row r="1" spans="1:24" ht="36.6" x14ac:dyDescent="0.7">
      <c r="A1" s="10"/>
      <c r="B1" s="14" t="s">
        <v>76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0"/>
      <c r="X1" s="10"/>
    </row>
    <row r="2" spans="1:24" x14ac:dyDescent="0.3">
      <c r="A2" s="10"/>
      <c r="B2" s="15" t="s">
        <v>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0"/>
      <c r="X2" s="10"/>
    </row>
    <row r="3" spans="1:2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ht="10.199999999999999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2">
    <mergeCell ref="B1:V1"/>
    <mergeCell ref="B2:V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E4D6-7631-43AB-967A-13577E4DB25F}">
  <dimension ref="A1:G102"/>
  <sheetViews>
    <sheetView topLeftCell="A85" workbookViewId="0">
      <selection activeCell="F97" sqref="F97"/>
    </sheetView>
  </sheetViews>
  <sheetFormatPr defaultRowHeight="14.4" x14ac:dyDescent="0.3"/>
  <cols>
    <col min="1" max="1" width="19.6640625" bestFit="1" customWidth="1"/>
    <col min="2" max="2" width="25.6640625" customWidth="1"/>
    <col min="3" max="3" width="9.5546875" bestFit="1" customWidth="1"/>
    <col min="4" max="4" width="17.33203125" bestFit="1" customWidth="1"/>
    <col min="5" max="5" width="14.77734375" bestFit="1" customWidth="1"/>
    <col min="6" max="6" width="9.88671875" bestFit="1" customWidth="1"/>
    <col min="7" max="7" width="10.5546875" bestFit="1" customWidth="1"/>
  </cols>
  <sheetData>
    <row r="1" spans="1:5" x14ac:dyDescent="0.3">
      <c r="A1" s="12" t="s">
        <v>52</v>
      </c>
      <c r="B1" s="12"/>
      <c r="C1" s="12"/>
      <c r="D1" s="12"/>
      <c r="E1" s="12"/>
    </row>
    <row r="2" spans="1:5" x14ac:dyDescent="0.3">
      <c r="A2" s="4" t="s">
        <v>48</v>
      </c>
      <c r="B2" s="4" t="s">
        <v>47</v>
      </c>
    </row>
    <row r="3" spans="1:5" x14ac:dyDescent="0.3">
      <c r="A3" s="4" t="s">
        <v>45</v>
      </c>
      <c r="B3" t="s">
        <v>5</v>
      </c>
      <c r="C3" t="s">
        <v>6</v>
      </c>
      <c r="D3" t="s">
        <v>7</v>
      </c>
      <c r="E3" t="s">
        <v>46</v>
      </c>
    </row>
    <row r="4" spans="1:5" x14ac:dyDescent="0.3">
      <c r="A4" s="5" t="s">
        <v>4</v>
      </c>
      <c r="B4">
        <v>62</v>
      </c>
      <c r="C4">
        <v>56</v>
      </c>
      <c r="D4">
        <v>49</v>
      </c>
      <c r="E4">
        <v>167</v>
      </c>
    </row>
    <row r="5" spans="1:5" x14ac:dyDescent="0.3">
      <c r="A5" s="5" t="s">
        <v>8</v>
      </c>
      <c r="B5">
        <v>50</v>
      </c>
      <c r="C5">
        <v>51</v>
      </c>
      <c r="D5">
        <v>46</v>
      </c>
      <c r="E5">
        <v>147</v>
      </c>
    </row>
    <row r="6" spans="1:5" x14ac:dyDescent="0.3">
      <c r="A6" s="5" t="s">
        <v>9</v>
      </c>
      <c r="B6">
        <v>64</v>
      </c>
      <c r="C6">
        <v>61</v>
      </c>
      <c r="D6">
        <v>45</v>
      </c>
      <c r="E6">
        <v>170</v>
      </c>
    </row>
    <row r="7" spans="1:5" x14ac:dyDescent="0.3">
      <c r="A7" s="5" t="s">
        <v>10</v>
      </c>
      <c r="B7">
        <v>65</v>
      </c>
      <c r="C7">
        <v>55</v>
      </c>
      <c r="D7">
        <v>49</v>
      </c>
      <c r="E7">
        <v>169</v>
      </c>
    </row>
    <row r="8" spans="1:5" x14ac:dyDescent="0.3">
      <c r="A8" s="5" t="s">
        <v>11</v>
      </c>
      <c r="B8">
        <v>75</v>
      </c>
      <c r="C8">
        <v>57</v>
      </c>
      <c r="D8">
        <v>58</v>
      </c>
      <c r="E8">
        <v>190</v>
      </c>
    </row>
    <row r="9" spans="1:5" x14ac:dyDescent="0.3">
      <c r="A9" s="5" t="s">
        <v>12</v>
      </c>
      <c r="B9">
        <v>55</v>
      </c>
      <c r="C9">
        <v>48</v>
      </c>
      <c r="D9">
        <v>54</v>
      </c>
      <c r="E9">
        <v>157</v>
      </c>
    </row>
    <row r="10" spans="1:5" x14ac:dyDescent="0.3">
      <c r="A10" s="5" t="s">
        <v>46</v>
      </c>
      <c r="B10">
        <v>371</v>
      </c>
      <c r="C10">
        <v>328</v>
      </c>
      <c r="D10">
        <v>301</v>
      </c>
      <c r="E10">
        <v>1000</v>
      </c>
    </row>
    <row r="13" spans="1:5" x14ac:dyDescent="0.3">
      <c r="A13" s="12" t="s">
        <v>51</v>
      </c>
      <c r="B13" s="12"/>
      <c r="C13" s="12"/>
      <c r="D13" s="1"/>
      <c r="E13" s="1"/>
    </row>
    <row r="14" spans="1:5" x14ac:dyDescent="0.3">
      <c r="A14" s="4" t="s">
        <v>45</v>
      </c>
      <c r="B14" t="s">
        <v>49</v>
      </c>
      <c r="C14" t="s">
        <v>50</v>
      </c>
    </row>
    <row r="15" spans="1:5" x14ac:dyDescent="0.3">
      <c r="A15" s="5" t="s">
        <v>4</v>
      </c>
      <c r="B15">
        <v>110</v>
      </c>
      <c r="C15">
        <v>31.700000000000003</v>
      </c>
    </row>
    <row r="16" spans="1:5" x14ac:dyDescent="0.3">
      <c r="A16" s="6" t="s">
        <v>5</v>
      </c>
      <c r="B16">
        <v>10</v>
      </c>
      <c r="C16">
        <v>3.7</v>
      </c>
    </row>
    <row r="17" spans="1:3" x14ac:dyDescent="0.3">
      <c r="A17" s="6" t="s">
        <v>6</v>
      </c>
      <c r="B17">
        <v>60</v>
      </c>
      <c r="C17">
        <v>19.600000000000001</v>
      </c>
    </row>
    <row r="18" spans="1:3" x14ac:dyDescent="0.3">
      <c r="A18" s="6" t="s">
        <v>7</v>
      </c>
      <c r="B18">
        <v>40</v>
      </c>
      <c r="C18">
        <v>8.4</v>
      </c>
    </row>
    <row r="19" spans="1:3" x14ac:dyDescent="0.3">
      <c r="A19" s="5" t="s">
        <v>8</v>
      </c>
      <c r="B19">
        <v>94</v>
      </c>
      <c r="C19">
        <v>33.300000000000004</v>
      </c>
    </row>
    <row r="20" spans="1:3" x14ac:dyDescent="0.3">
      <c r="A20" s="6" t="s">
        <v>5</v>
      </c>
      <c r="B20">
        <v>15</v>
      </c>
      <c r="C20">
        <v>5.3</v>
      </c>
    </row>
    <row r="21" spans="1:3" x14ac:dyDescent="0.3">
      <c r="A21" s="6" t="s">
        <v>6</v>
      </c>
      <c r="B21">
        <v>42</v>
      </c>
      <c r="C21">
        <v>18.600000000000001</v>
      </c>
    </row>
    <row r="22" spans="1:3" x14ac:dyDescent="0.3">
      <c r="A22" s="6" t="s">
        <v>7</v>
      </c>
      <c r="B22">
        <v>37</v>
      </c>
      <c r="C22">
        <v>9.4</v>
      </c>
    </row>
    <row r="23" spans="1:3" x14ac:dyDescent="0.3">
      <c r="A23" s="5" t="s">
        <v>9</v>
      </c>
      <c r="B23">
        <v>91</v>
      </c>
      <c r="C23">
        <v>31.5</v>
      </c>
    </row>
    <row r="24" spans="1:3" x14ac:dyDescent="0.3">
      <c r="A24" s="6" t="s">
        <v>5</v>
      </c>
      <c r="B24">
        <v>10</v>
      </c>
      <c r="C24">
        <v>5.3</v>
      </c>
    </row>
    <row r="25" spans="1:3" x14ac:dyDescent="0.3">
      <c r="A25" s="6" t="s">
        <v>6</v>
      </c>
      <c r="B25">
        <v>56</v>
      </c>
      <c r="C25">
        <v>16.7</v>
      </c>
    </row>
    <row r="26" spans="1:3" x14ac:dyDescent="0.3">
      <c r="A26" s="6" t="s">
        <v>7</v>
      </c>
      <c r="B26">
        <v>25</v>
      </c>
      <c r="C26">
        <v>9.5</v>
      </c>
    </row>
    <row r="27" spans="1:3" x14ac:dyDescent="0.3">
      <c r="A27" s="5" t="s">
        <v>10</v>
      </c>
      <c r="B27">
        <v>102</v>
      </c>
      <c r="C27">
        <v>31.8</v>
      </c>
    </row>
    <row r="28" spans="1:3" x14ac:dyDescent="0.3">
      <c r="A28" s="6" t="s">
        <v>5</v>
      </c>
      <c r="B28">
        <v>11</v>
      </c>
      <c r="C28">
        <v>5.0999999999999996</v>
      </c>
    </row>
    <row r="29" spans="1:3" x14ac:dyDescent="0.3">
      <c r="A29" s="6" t="s">
        <v>6</v>
      </c>
      <c r="B29">
        <v>54</v>
      </c>
      <c r="C29">
        <v>19</v>
      </c>
    </row>
    <row r="30" spans="1:3" x14ac:dyDescent="0.3">
      <c r="A30" s="6" t="s">
        <v>7</v>
      </c>
      <c r="B30">
        <v>37</v>
      </c>
      <c r="C30">
        <v>7.7</v>
      </c>
    </row>
    <row r="31" spans="1:3" x14ac:dyDescent="0.3">
      <c r="A31" s="5" t="s">
        <v>11</v>
      </c>
      <c r="B31">
        <v>116</v>
      </c>
      <c r="C31">
        <v>31.099999999999998</v>
      </c>
    </row>
    <row r="32" spans="1:3" x14ac:dyDescent="0.3">
      <c r="A32" s="6" t="s">
        <v>5</v>
      </c>
      <c r="B32">
        <v>3</v>
      </c>
      <c r="C32">
        <v>1.7</v>
      </c>
    </row>
    <row r="33" spans="1:5" x14ac:dyDescent="0.3">
      <c r="A33" s="6" t="s">
        <v>6</v>
      </c>
      <c r="B33">
        <v>63</v>
      </c>
      <c r="C33">
        <v>19.399999999999999</v>
      </c>
    </row>
    <row r="34" spans="1:5" x14ac:dyDescent="0.3">
      <c r="A34" s="6" t="s">
        <v>7</v>
      </c>
      <c r="B34">
        <v>50</v>
      </c>
      <c r="C34">
        <v>10</v>
      </c>
    </row>
    <row r="35" spans="1:5" x14ac:dyDescent="0.3">
      <c r="A35" s="5" t="s">
        <v>12</v>
      </c>
      <c r="B35">
        <v>95</v>
      </c>
      <c r="C35">
        <v>33.1</v>
      </c>
    </row>
    <row r="36" spans="1:5" x14ac:dyDescent="0.3">
      <c r="A36" s="6" t="s">
        <v>5</v>
      </c>
      <c r="B36">
        <v>13</v>
      </c>
      <c r="C36">
        <v>5.3</v>
      </c>
    </row>
    <row r="37" spans="1:5" x14ac:dyDescent="0.3">
      <c r="A37" s="6" t="s">
        <v>6</v>
      </c>
      <c r="B37">
        <v>48</v>
      </c>
      <c r="C37">
        <v>18.399999999999999</v>
      </c>
    </row>
    <row r="38" spans="1:5" x14ac:dyDescent="0.3">
      <c r="A38" s="6" t="s">
        <v>7</v>
      </c>
      <c r="B38">
        <v>34</v>
      </c>
      <c r="C38">
        <v>9.4</v>
      </c>
    </row>
    <row r="39" spans="1:5" x14ac:dyDescent="0.3">
      <c r="A39" s="5" t="s">
        <v>46</v>
      </c>
      <c r="B39">
        <v>608</v>
      </c>
      <c r="C39">
        <v>192.5</v>
      </c>
    </row>
    <row r="42" spans="1:5" x14ac:dyDescent="0.3">
      <c r="A42" s="7" t="s">
        <v>53</v>
      </c>
      <c r="B42" s="7"/>
      <c r="C42" s="7"/>
      <c r="D42" s="1"/>
      <c r="E42" s="1"/>
    </row>
    <row r="43" spans="1:5" x14ac:dyDescent="0.3">
      <c r="A43" s="4" t="s">
        <v>45</v>
      </c>
      <c r="B43" t="s">
        <v>49</v>
      </c>
      <c r="C43" t="s">
        <v>54</v>
      </c>
    </row>
    <row r="44" spans="1:5" x14ac:dyDescent="0.3">
      <c r="A44" s="5" t="s">
        <v>18</v>
      </c>
      <c r="B44">
        <v>53</v>
      </c>
      <c r="C44">
        <v>6</v>
      </c>
    </row>
    <row r="45" spans="1:5" x14ac:dyDescent="0.3">
      <c r="A45" s="5" t="s">
        <v>19</v>
      </c>
      <c r="B45">
        <v>53</v>
      </c>
      <c r="C45">
        <v>4</v>
      </c>
    </row>
    <row r="46" spans="1:5" x14ac:dyDescent="0.3">
      <c r="A46" s="5" t="s">
        <v>20</v>
      </c>
      <c r="B46">
        <v>62</v>
      </c>
      <c r="C46">
        <v>6</v>
      </c>
    </row>
    <row r="47" spans="1:5" x14ac:dyDescent="0.3">
      <c r="A47" s="5" t="s">
        <v>21</v>
      </c>
      <c r="B47">
        <v>47</v>
      </c>
      <c r="C47">
        <v>7</v>
      </c>
    </row>
    <row r="48" spans="1:5" x14ac:dyDescent="0.3">
      <c r="A48" s="5" t="s">
        <v>22</v>
      </c>
      <c r="B48">
        <v>53</v>
      </c>
      <c r="C48">
        <v>8</v>
      </c>
    </row>
    <row r="49" spans="1:7" x14ac:dyDescent="0.3">
      <c r="A49" s="5" t="s">
        <v>23</v>
      </c>
      <c r="B49">
        <v>46</v>
      </c>
      <c r="C49">
        <v>2</v>
      </c>
    </row>
    <row r="50" spans="1:7" x14ac:dyDescent="0.3">
      <c r="A50" s="5" t="s">
        <v>24</v>
      </c>
      <c r="B50">
        <v>57</v>
      </c>
      <c r="C50">
        <v>2</v>
      </c>
    </row>
    <row r="51" spans="1:7" x14ac:dyDescent="0.3">
      <c r="A51" s="5" t="s">
        <v>25</v>
      </c>
      <c r="B51">
        <v>51</v>
      </c>
      <c r="C51">
        <v>8</v>
      </c>
    </row>
    <row r="52" spans="1:7" x14ac:dyDescent="0.3">
      <c r="A52" s="5" t="s">
        <v>26</v>
      </c>
      <c r="B52">
        <v>34</v>
      </c>
      <c r="C52">
        <v>5</v>
      </c>
    </row>
    <row r="53" spans="1:7" x14ac:dyDescent="0.3">
      <c r="A53" s="5" t="s">
        <v>27</v>
      </c>
      <c r="B53">
        <v>54</v>
      </c>
      <c r="C53">
        <v>6</v>
      </c>
    </row>
    <row r="54" spans="1:7" x14ac:dyDescent="0.3">
      <c r="A54" s="5" t="s">
        <v>28</v>
      </c>
      <c r="B54">
        <v>49</v>
      </c>
      <c r="C54">
        <v>3</v>
      </c>
    </row>
    <row r="55" spans="1:7" x14ac:dyDescent="0.3">
      <c r="A55" s="5" t="s">
        <v>29</v>
      </c>
      <c r="B55">
        <v>49</v>
      </c>
      <c r="C55">
        <v>5</v>
      </c>
    </row>
    <row r="56" spans="1:7" x14ac:dyDescent="0.3">
      <c r="A56" s="5" t="s">
        <v>46</v>
      </c>
      <c r="B56">
        <v>608</v>
      </c>
      <c r="C56">
        <v>62</v>
      </c>
    </row>
    <row r="59" spans="1:7" x14ac:dyDescent="0.3">
      <c r="A59" s="13" t="s">
        <v>55</v>
      </c>
      <c r="B59" s="13"/>
      <c r="C59" s="13"/>
      <c r="D59" s="13"/>
      <c r="E59" s="13"/>
      <c r="F59" s="13"/>
      <c r="G59" s="13"/>
    </row>
    <row r="60" spans="1:7" x14ac:dyDescent="0.3">
      <c r="A60" s="4" t="s">
        <v>49</v>
      </c>
      <c r="B60" s="4" t="s">
        <v>47</v>
      </c>
    </row>
    <row r="61" spans="1:7" x14ac:dyDescent="0.3">
      <c r="A61" s="4" t="s">
        <v>45</v>
      </c>
      <c r="B61" t="s">
        <v>31</v>
      </c>
      <c r="C61" t="s">
        <v>34</v>
      </c>
      <c r="D61" t="s">
        <v>32</v>
      </c>
      <c r="E61" t="s">
        <v>35</v>
      </c>
      <c r="F61" t="s">
        <v>33</v>
      </c>
      <c r="G61" t="s">
        <v>46</v>
      </c>
    </row>
    <row r="62" spans="1:7" x14ac:dyDescent="0.3">
      <c r="A62" s="5" t="s">
        <v>5</v>
      </c>
      <c r="B62">
        <v>90</v>
      </c>
      <c r="C62">
        <v>29</v>
      </c>
      <c r="D62">
        <v>65</v>
      </c>
      <c r="E62">
        <v>21</v>
      </c>
      <c r="F62">
        <v>32</v>
      </c>
      <c r="G62">
        <v>237</v>
      </c>
    </row>
    <row r="63" spans="1:7" x14ac:dyDescent="0.3">
      <c r="A63" s="5" t="s">
        <v>7</v>
      </c>
      <c r="B63">
        <v>73</v>
      </c>
      <c r="C63">
        <v>22</v>
      </c>
      <c r="D63">
        <v>43</v>
      </c>
      <c r="E63">
        <v>17</v>
      </c>
      <c r="F63">
        <v>19</v>
      </c>
      <c r="G63">
        <v>174</v>
      </c>
    </row>
    <row r="64" spans="1:7" x14ac:dyDescent="0.3">
      <c r="A64" s="5" t="s">
        <v>6</v>
      </c>
      <c r="B64">
        <v>70</v>
      </c>
      <c r="C64">
        <v>38</v>
      </c>
      <c r="D64">
        <v>56</v>
      </c>
      <c r="E64">
        <v>7</v>
      </c>
      <c r="F64">
        <v>26</v>
      </c>
      <c r="G64">
        <v>197</v>
      </c>
    </row>
    <row r="65" spans="1:7" x14ac:dyDescent="0.3">
      <c r="A65" s="5" t="s">
        <v>46</v>
      </c>
      <c r="B65">
        <v>233</v>
      </c>
      <c r="C65">
        <v>89</v>
      </c>
      <c r="D65">
        <v>164</v>
      </c>
      <c r="E65">
        <v>45</v>
      </c>
      <c r="F65">
        <v>77</v>
      </c>
      <c r="G65">
        <v>608</v>
      </c>
    </row>
    <row r="68" spans="1:7" x14ac:dyDescent="0.3">
      <c r="A68" s="12" t="s">
        <v>56</v>
      </c>
      <c r="B68" s="12"/>
      <c r="C68" s="12"/>
    </row>
    <row r="69" spans="1:7" x14ac:dyDescent="0.3">
      <c r="A69" s="4" t="s">
        <v>45</v>
      </c>
      <c r="B69" t="s">
        <v>49</v>
      </c>
      <c r="C69" t="s">
        <v>50</v>
      </c>
    </row>
    <row r="70" spans="1:7" x14ac:dyDescent="0.3">
      <c r="A70" s="5" t="s">
        <v>5</v>
      </c>
      <c r="B70">
        <v>62</v>
      </c>
      <c r="C70">
        <v>4.8</v>
      </c>
    </row>
    <row r="71" spans="1:7" x14ac:dyDescent="0.3">
      <c r="A71" s="5" t="s">
        <v>6</v>
      </c>
      <c r="B71">
        <v>323</v>
      </c>
      <c r="C71">
        <v>18.600000000000001</v>
      </c>
    </row>
    <row r="72" spans="1:7" x14ac:dyDescent="0.3">
      <c r="A72" s="5" t="s">
        <v>7</v>
      </c>
      <c r="B72">
        <v>223</v>
      </c>
      <c r="C72">
        <v>9.1</v>
      </c>
    </row>
    <row r="73" spans="1:7" x14ac:dyDescent="0.3">
      <c r="A73" s="5" t="s">
        <v>46</v>
      </c>
      <c r="B73">
        <v>608</v>
      </c>
      <c r="C73">
        <v>32.5</v>
      </c>
    </row>
    <row r="76" spans="1:7" x14ac:dyDescent="0.3">
      <c r="A76" s="12" t="s">
        <v>66</v>
      </c>
      <c r="B76" s="12"/>
      <c r="C76" s="12"/>
      <c r="D76" s="12"/>
    </row>
    <row r="77" spans="1:7" x14ac:dyDescent="0.3">
      <c r="A77" s="4" t="s">
        <v>49</v>
      </c>
      <c r="B77" s="4" t="s">
        <v>47</v>
      </c>
    </row>
    <row r="78" spans="1:7" x14ac:dyDescent="0.3">
      <c r="A78" s="4" t="s">
        <v>45</v>
      </c>
      <c r="B78" t="s">
        <v>37</v>
      </c>
      <c r="C78" t="s">
        <v>38</v>
      </c>
      <c r="D78" t="s">
        <v>46</v>
      </c>
    </row>
    <row r="79" spans="1:7" x14ac:dyDescent="0.3">
      <c r="A79" s="5" t="s">
        <v>5</v>
      </c>
      <c r="B79" s="8">
        <v>0.22580645161290322</v>
      </c>
      <c r="C79" s="8">
        <v>0.77419354838709675</v>
      </c>
      <c r="D79" s="8">
        <v>1</v>
      </c>
    </row>
    <row r="80" spans="1:7" x14ac:dyDescent="0.3">
      <c r="A80" s="5" t="s">
        <v>6</v>
      </c>
      <c r="B80" s="8">
        <v>0.24767801857585139</v>
      </c>
      <c r="C80" s="8">
        <v>0.75232198142414863</v>
      </c>
      <c r="D80" s="8">
        <v>1</v>
      </c>
    </row>
    <row r="81" spans="1:4" x14ac:dyDescent="0.3">
      <c r="A81" s="5" t="s">
        <v>7</v>
      </c>
      <c r="B81" s="8">
        <v>0.28251121076233182</v>
      </c>
      <c r="C81" s="8">
        <v>0.71748878923766812</v>
      </c>
      <c r="D81" s="8">
        <v>1</v>
      </c>
    </row>
    <row r="82" spans="1:4" x14ac:dyDescent="0.3">
      <c r="A82" s="5" t="s">
        <v>46</v>
      </c>
      <c r="B82" s="8">
        <v>0.25822368421052633</v>
      </c>
      <c r="C82" s="8">
        <v>0.74177631578947367</v>
      </c>
      <c r="D82" s="8">
        <v>1</v>
      </c>
    </row>
    <row r="85" spans="1:4" x14ac:dyDescent="0.3">
      <c r="A85" s="12" t="s">
        <v>67</v>
      </c>
      <c r="B85" s="12"/>
    </row>
    <row r="86" spans="1:4" x14ac:dyDescent="0.3">
      <c r="A86" s="4" t="s">
        <v>45</v>
      </c>
      <c r="B86" t="s">
        <v>57</v>
      </c>
    </row>
    <row r="87" spans="1:4" x14ac:dyDescent="0.3">
      <c r="A87" s="5" t="s">
        <v>31</v>
      </c>
      <c r="B87">
        <v>66</v>
      </c>
    </row>
    <row r="88" spans="1:4" x14ac:dyDescent="0.3">
      <c r="A88" s="5" t="s">
        <v>32</v>
      </c>
      <c r="B88">
        <v>40</v>
      </c>
    </row>
    <row r="89" spans="1:4" x14ac:dyDescent="0.3">
      <c r="A89" s="5" t="s">
        <v>34</v>
      </c>
      <c r="B89">
        <v>21</v>
      </c>
    </row>
    <row r="90" spans="1:4" x14ac:dyDescent="0.3">
      <c r="A90" s="5" t="s">
        <v>33</v>
      </c>
      <c r="B90">
        <v>18</v>
      </c>
    </row>
    <row r="91" spans="1:4" x14ac:dyDescent="0.3">
      <c r="A91" s="5" t="s">
        <v>35</v>
      </c>
      <c r="B91">
        <v>12</v>
      </c>
    </row>
    <row r="92" spans="1:4" x14ac:dyDescent="0.3">
      <c r="A92" s="5" t="s">
        <v>46</v>
      </c>
      <c r="B92">
        <v>157</v>
      </c>
    </row>
    <row r="95" spans="1:4" x14ac:dyDescent="0.3">
      <c r="A95" s="12" t="s">
        <v>68</v>
      </c>
      <c r="B95" s="12"/>
      <c r="C95" s="12"/>
    </row>
    <row r="96" spans="1:4" x14ac:dyDescent="0.3">
      <c r="A96" s="4" t="s">
        <v>45</v>
      </c>
      <c r="B96" t="s">
        <v>58</v>
      </c>
      <c r="C96" t="s">
        <v>59</v>
      </c>
    </row>
    <row r="97" spans="1:3" x14ac:dyDescent="0.3">
      <c r="A97" s="5" t="s">
        <v>35</v>
      </c>
      <c r="B97">
        <v>6596</v>
      </c>
      <c r="C97">
        <v>74.599999999999994</v>
      </c>
    </row>
    <row r="98" spans="1:3" x14ac:dyDescent="0.3">
      <c r="A98" s="5" t="s">
        <v>31</v>
      </c>
      <c r="B98">
        <v>6724</v>
      </c>
      <c r="C98">
        <v>74.900000000000006</v>
      </c>
    </row>
    <row r="99" spans="1:3" x14ac:dyDescent="0.3">
      <c r="A99" s="5" t="s">
        <v>33</v>
      </c>
      <c r="B99">
        <v>6780</v>
      </c>
      <c r="C99">
        <v>73.900000000000006</v>
      </c>
    </row>
    <row r="100" spans="1:3" x14ac:dyDescent="0.3">
      <c r="A100" s="5" t="s">
        <v>32</v>
      </c>
      <c r="B100">
        <v>6833</v>
      </c>
      <c r="C100">
        <v>73.599999999999994</v>
      </c>
    </row>
    <row r="101" spans="1:3" x14ac:dyDescent="0.3">
      <c r="A101" s="5" t="s">
        <v>34</v>
      </c>
      <c r="B101">
        <v>6996</v>
      </c>
      <c r="C101">
        <v>73.3</v>
      </c>
    </row>
    <row r="102" spans="1:3" x14ac:dyDescent="0.3">
      <c r="A102" s="5" t="s">
        <v>46</v>
      </c>
      <c r="B102">
        <v>33929</v>
      </c>
      <c r="C102">
        <v>370.29999999999995</v>
      </c>
    </row>
  </sheetData>
  <mergeCells count="7">
    <mergeCell ref="A76:D76"/>
    <mergeCell ref="A85:B85"/>
    <mergeCell ref="A95:C95"/>
    <mergeCell ref="A1:E1"/>
    <mergeCell ref="A59:G59"/>
    <mergeCell ref="A13:C13"/>
    <mergeCell ref="A68:C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F39F-2CC0-4806-9858-1C974BF6AAA1}">
  <dimension ref="A1"/>
  <sheetViews>
    <sheetView topLeftCell="A40" workbookViewId="0">
      <selection activeCell="H56" sqref="H5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15D6-9F64-4B91-87B2-759AA202DBE0}">
  <dimension ref="A1:D11"/>
  <sheetViews>
    <sheetView workbookViewId="0">
      <selection activeCell="F23" sqref="F23"/>
    </sheetView>
  </sheetViews>
  <sheetFormatPr defaultRowHeight="14.4" x14ac:dyDescent="0.3"/>
  <cols>
    <col min="3" max="3" width="10.5546875" customWidth="1"/>
    <col min="4" max="4" width="24.33203125" customWidth="1"/>
  </cols>
  <sheetData>
    <row r="1" spans="1:4" ht="25.8" x14ac:dyDescent="0.5">
      <c r="A1" s="16" t="s">
        <v>60</v>
      </c>
      <c r="B1" s="16"/>
      <c r="C1" s="16"/>
      <c r="D1" s="16"/>
    </row>
    <row r="2" spans="1:4" x14ac:dyDescent="0.3">
      <c r="A2" s="1" t="s">
        <v>64</v>
      </c>
      <c r="B2" s="1" t="s">
        <v>62</v>
      </c>
      <c r="C2" s="1" t="s">
        <v>61</v>
      </c>
      <c r="D2" s="1" t="s">
        <v>63</v>
      </c>
    </row>
    <row r="3" spans="1:4" x14ac:dyDescent="0.3">
      <c r="A3">
        <v>1</v>
      </c>
      <c r="B3" s="9" t="s">
        <v>65</v>
      </c>
      <c r="C3" s="9" t="s">
        <v>65</v>
      </c>
      <c r="D3" t="s">
        <v>72</v>
      </c>
    </row>
    <row r="4" spans="1:4" x14ac:dyDescent="0.3">
      <c r="A4">
        <v>2</v>
      </c>
      <c r="B4" s="9" t="s">
        <v>65</v>
      </c>
      <c r="C4" s="9" t="s">
        <v>65</v>
      </c>
      <c r="D4" t="s">
        <v>72</v>
      </c>
    </row>
    <row r="5" spans="1:4" x14ac:dyDescent="0.3">
      <c r="A5">
        <v>3</v>
      </c>
      <c r="B5" s="9" t="s">
        <v>65</v>
      </c>
      <c r="C5" s="9" t="s">
        <v>65</v>
      </c>
      <c r="D5" t="s">
        <v>71</v>
      </c>
    </row>
    <row r="6" spans="1:4" x14ac:dyDescent="0.3">
      <c r="A6">
        <v>4</v>
      </c>
      <c r="B6" s="9" t="s">
        <v>65</v>
      </c>
      <c r="C6" s="9" t="s">
        <v>65</v>
      </c>
      <c r="D6" t="s">
        <v>73</v>
      </c>
    </row>
    <row r="7" spans="1:4" x14ac:dyDescent="0.3">
      <c r="A7">
        <v>5</v>
      </c>
      <c r="B7" s="9" t="s">
        <v>65</v>
      </c>
      <c r="C7" s="9" t="s">
        <v>65</v>
      </c>
      <c r="D7" t="s">
        <v>72</v>
      </c>
    </row>
    <row r="8" spans="1:4" x14ac:dyDescent="0.3">
      <c r="A8">
        <v>6.1</v>
      </c>
      <c r="B8" s="9" t="s">
        <v>65</v>
      </c>
      <c r="C8" s="9" t="s">
        <v>65</v>
      </c>
      <c r="D8" t="s">
        <v>74</v>
      </c>
    </row>
    <row r="9" spans="1:4" x14ac:dyDescent="0.3">
      <c r="A9">
        <v>6.2</v>
      </c>
      <c r="B9" s="9" t="s">
        <v>65</v>
      </c>
      <c r="C9" s="9" t="s">
        <v>65</v>
      </c>
      <c r="D9" t="s">
        <v>75</v>
      </c>
    </row>
    <row r="10" spans="1:4" x14ac:dyDescent="0.3">
      <c r="A10">
        <v>7</v>
      </c>
      <c r="B10" s="9" t="s">
        <v>65</v>
      </c>
      <c r="C10" s="9" t="s">
        <v>65</v>
      </c>
      <c r="D10" t="s">
        <v>71</v>
      </c>
    </row>
    <row r="11" spans="1:4" x14ac:dyDescent="0.3">
      <c r="A11">
        <v>8</v>
      </c>
      <c r="B11" s="9" t="s">
        <v>65</v>
      </c>
      <c r="C11" s="10" t="s">
        <v>69</v>
      </c>
      <c r="D11" s="10" t="s">
        <v>70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D767-B8B6-4A17-9138-B09644507E02}">
  <dimension ref="A1:I19"/>
  <sheetViews>
    <sheetView workbookViewId="0"/>
  </sheetViews>
  <sheetFormatPr defaultRowHeight="14.4" x14ac:dyDescent="0.3"/>
  <cols>
    <col min="1" max="1" width="9.5546875" bestFit="1" customWidth="1"/>
    <col min="2" max="2" width="11.5546875" bestFit="1" customWidth="1"/>
    <col min="3" max="3" width="11.21875" bestFit="1" customWidth="1"/>
    <col min="4" max="4" width="7.33203125" bestFit="1" customWidth="1"/>
    <col min="7" max="7" width="21.5546875" customWidth="1"/>
    <col min="8" max="8" width="17.77734375" customWidth="1"/>
    <col min="9" max="9" width="4.21875" bestFit="1" customWidth="1"/>
    <col min="10" max="10" width="7.77734375" bestFit="1" customWidth="1"/>
    <col min="11" max="11" width="10.55468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G1"/>
      <c r="H1"/>
      <c r="I1"/>
    </row>
    <row r="2" spans="1:9" x14ac:dyDescent="0.3">
      <c r="A2" t="s">
        <v>4</v>
      </c>
      <c r="B2" t="s">
        <v>5</v>
      </c>
      <c r="C2">
        <v>62</v>
      </c>
      <c r="D2">
        <v>90</v>
      </c>
    </row>
    <row r="3" spans="1:9" x14ac:dyDescent="0.3">
      <c r="A3" t="s">
        <v>4</v>
      </c>
      <c r="B3" t="s">
        <v>6</v>
      </c>
      <c r="C3">
        <v>56</v>
      </c>
      <c r="D3">
        <v>70.099999999999994</v>
      </c>
    </row>
    <row r="4" spans="1:9" x14ac:dyDescent="0.3">
      <c r="A4" t="s">
        <v>4</v>
      </c>
      <c r="B4" t="s">
        <v>7</v>
      </c>
      <c r="C4">
        <v>49</v>
      </c>
      <c r="D4">
        <v>80</v>
      </c>
    </row>
    <row r="5" spans="1:9" x14ac:dyDescent="0.3">
      <c r="A5" t="s">
        <v>8</v>
      </c>
      <c r="B5" t="s">
        <v>5</v>
      </c>
      <c r="C5">
        <v>50</v>
      </c>
      <c r="D5">
        <v>89.9</v>
      </c>
    </row>
    <row r="6" spans="1:9" x14ac:dyDescent="0.3">
      <c r="A6" t="s">
        <v>8</v>
      </c>
      <c r="B6" t="s">
        <v>6</v>
      </c>
      <c r="C6">
        <v>51</v>
      </c>
      <c r="D6">
        <v>69.2</v>
      </c>
    </row>
    <row r="7" spans="1:9" x14ac:dyDescent="0.3">
      <c r="A7" t="s">
        <v>8</v>
      </c>
      <c r="B7" t="s">
        <v>7</v>
      </c>
      <c r="C7">
        <v>46</v>
      </c>
      <c r="D7">
        <v>79.900000000000006</v>
      </c>
    </row>
    <row r="8" spans="1:9" x14ac:dyDescent="0.3">
      <c r="A8" t="s">
        <v>9</v>
      </c>
      <c r="B8" t="s">
        <v>5</v>
      </c>
      <c r="C8">
        <v>64</v>
      </c>
      <c r="D8">
        <v>89.3</v>
      </c>
    </row>
    <row r="9" spans="1:9" x14ac:dyDescent="0.3">
      <c r="A9" t="s">
        <v>9</v>
      </c>
      <c r="B9" t="s">
        <v>6</v>
      </c>
      <c r="C9">
        <v>61</v>
      </c>
      <c r="D9">
        <v>69</v>
      </c>
    </row>
    <row r="10" spans="1:9" x14ac:dyDescent="0.3">
      <c r="A10" t="s">
        <v>9</v>
      </c>
      <c r="B10" t="s">
        <v>7</v>
      </c>
      <c r="C10">
        <v>45</v>
      </c>
      <c r="D10">
        <v>79.7</v>
      </c>
    </row>
    <row r="11" spans="1:9" x14ac:dyDescent="0.3">
      <c r="A11" t="s">
        <v>10</v>
      </c>
      <c r="B11" t="s">
        <v>5</v>
      </c>
      <c r="C11">
        <v>65</v>
      </c>
      <c r="D11">
        <v>89.5</v>
      </c>
    </row>
    <row r="12" spans="1:9" x14ac:dyDescent="0.3">
      <c r="A12" t="s">
        <v>10</v>
      </c>
      <c r="B12" t="s">
        <v>6</v>
      </c>
      <c r="C12">
        <v>55</v>
      </c>
      <c r="D12">
        <v>68.5</v>
      </c>
    </row>
    <row r="13" spans="1:9" x14ac:dyDescent="0.3">
      <c r="A13" t="s">
        <v>10</v>
      </c>
      <c r="B13" t="s">
        <v>7</v>
      </c>
      <c r="C13">
        <v>49</v>
      </c>
      <c r="D13">
        <v>80.099999999999994</v>
      </c>
    </row>
    <row r="14" spans="1:9" x14ac:dyDescent="0.3">
      <c r="A14" t="s">
        <v>11</v>
      </c>
      <c r="B14" t="s">
        <v>5</v>
      </c>
      <c r="C14">
        <v>75</v>
      </c>
      <c r="D14">
        <v>89.7</v>
      </c>
    </row>
    <row r="15" spans="1:9" x14ac:dyDescent="0.3">
      <c r="A15" t="s">
        <v>11</v>
      </c>
      <c r="B15" t="s">
        <v>6</v>
      </c>
      <c r="C15">
        <v>57</v>
      </c>
      <c r="D15">
        <v>69.2</v>
      </c>
    </row>
    <row r="16" spans="1:9" x14ac:dyDescent="0.3">
      <c r="A16" t="s">
        <v>11</v>
      </c>
      <c r="B16" t="s">
        <v>7</v>
      </c>
      <c r="C16">
        <v>58</v>
      </c>
      <c r="D16">
        <v>79.2</v>
      </c>
    </row>
    <row r="17" spans="1:4" x14ac:dyDescent="0.3">
      <c r="A17" t="s">
        <v>12</v>
      </c>
      <c r="B17" t="s">
        <v>5</v>
      </c>
      <c r="C17">
        <v>55</v>
      </c>
      <c r="D17">
        <v>89.6</v>
      </c>
    </row>
    <row r="18" spans="1:4" x14ac:dyDescent="0.3">
      <c r="A18" t="s">
        <v>12</v>
      </c>
      <c r="B18" t="s">
        <v>6</v>
      </c>
      <c r="C18">
        <v>48</v>
      </c>
      <c r="D18">
        <v>69.099999999999994</v>
      </c>
    </row>
    <row r="19" spans="1:4" x14ac:dyDescent="0.3">
      <c r="A19" t="s">
        <v>12</v>
      </c>
      <c r="B19" t="s">
        <v>7</v>
      </c>
      <c r="C19">
        <v>54</v>
      </c>
      <c r="D19">
        <v>79.099999999999994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C291-CB70-4B27-B223-95606D9F9154}">
  <dimension ref="A1:D19"/>
  <sheetViews>
    <sheetView workbookViewId="0"/>
  </sheetViews>
  <sheetFormatPr defaultRowHeight="14.4" x14ac:dyDescent="0.3"/>
  <cols>
    <col min="1" max="1" width="9.5546875" bestFit="1" customWidth="1"/>
    <col min="2" max="2" width="7.44140625" bestFit="1" customWidth="1"/>
    <col min="3" max="3" width="12.6640625" bestFit="1" customWidth="1"/>
    <col min="4" max="4" width="16.33203125" bestFit="1" customWidth="1"/>
  </cols>
  <sheetData>
    <row r="1" spans="1:4" x14ac:dyDescent="0.3">
      <c r="A1" t="s">
        <v>0</v>
      </c>
      <c r="B1" t="s">
        <v>13</v>
      </c>
      <c r="C1" t="s">
        <v>14</v>
      </c>
      <c r="D1" t="s">
        <v>15</v>
      </c>
    </row>
    <row r="2" spans="1:4" x14ac:dyDescent="0.3">
      <c r="A2" t="s">
        <v>4</v>
      </c>
      <c r="B2" t="s">
        <v>6</v>
      </c>
      <c r="C2">
        <v>60</v>
      </c>
      <c r="D2">
        <v>19.600000000000001</v>
      </c>
    </row>
    <row r="3" spans="1:4" x14ac:dyDescent="0.3">
      <c r="A3" t="s">
        <v>4</v>
      </c>
      <c r="B3" t="s">
        <v>7</v>
      </c>
      <c r="C3">
        <v>40</v>
      </c>
      <c r="D3">
        <v>8.4</v>
      </c>
    </row>
    <row r="4" spans="1:4" x14ac:dyDescent="0.3">
      <c r="A4" t="s">
        <v>4</v>
      </c>
      <c r="B4" t="s">
        <v>5</v>
      </c>
      <c r="C4">
        <v>10</v>
      </c>
      <c r="D4">
        <v>3.7</v>
      </c>
    </row>
    <row r="5" spans="1:4" x14ac:dyDescent="0.3">
      <c r="A5" t="s">
        <v>8</v>
      </c>
      <c r="B5" t="s">
        <v>6</v>
      </c>
      <c r="C5">
        <v>42</v>
      </c>
      <c r="D5">
        <v>18.600000000000001</v>
      </c>
    </row>
    <row r="6" spans="1:4" x14ac:dyDescent="0.3">
      <c r="A6" t="s">
        <v>8</v>
      </c>
      <c r="B6" t="s">
        <v>7</v>
      </c>
      <c r="C6">
        <v>37</v>
      </c>
      <c r="D6">
        <v>9.4</v>
      </c>
    </row>
    <row r="7" spans="1:4" x14ac:dyDescent="0.3">
      <c r="A7" t="s">
        <v>8</v>
      </c>
      <c r="B7" t="s">
        <v>5</v>
      </c>
      <c r="C7">
        <v>15</v>
      </c>
      <c r="D7">
        <v>5.3</v>
      </c>
    </row>
    <row r="8" spans="1:4" x14ac:dyDescent="0.3">
      <c r="A8" t="s">
        <v>9</v>
      </c>
      <c r="B8" t="s">
        <v>6</v>
      </c>
      <c r="C8">
        <v>56</v>
      </c>
      <c r="D8">
        <v>16.7</v>
      </c>
    </row>
    <row r="9" spans="1:4" x14ac:dyDescent="0.3">
      <c r="A9" t="s">
        <v>9</v>
      </c>
      <c r="B9" t="s">
        <v>7</v>
      </c>
      <c r="C9">
        <v>25</v>
      </c>
      <c r="D9">
        <v>9.5</v>
      </c>
    </row>
    <row r="10" spans="1:4" x14ac:dyDescent="0.3">
      <c r="A10" t="s">
        <v>9</v>
      </c>
      <c r="B10" t="s">
        <v>5</v>
      </c>
      <c r="C10">
        <v>10</v>
      </c>
      <c r="D10">
        <v>5.3</v>
      </c>
    </row>
    <row r="11" spans="1:4" x14ac:dyDescent="0.3">
      <c r="A11" t="s">
        <v>10</v>
      </c>
      <c r="B11" t="s">
        <v>6</v>
      </c>
      <c r="C11">
        <v>54</v>
      </c>
      <c r="D11">
        <v>19</v>
      </c>
    </row>
    <row r="12" spans="1:4" x14ac:dyDescent="0.3">
      <c r="A12" t="s">
        <v>10</v>
      </c>
      <c r="B12" t="s">
        <v>7</v>
      </c>
      <c r="C12">
        <v>37</v>
      </c>
      <c r="D12">
        <v>7.7</v>
      </c>
    </row>
    <row r="13" spans="1:4" x14ac:dyDescent="0.3">
      <c r="A13" t="s">
        <v>10</v>
      </c>
      <c r="B13" t="s">
        <v>5</v>
      </c>
      <c r="C13">
        <v>11</v>
      </c>
      <c r="D13">
        <v>5.0999999999999996</v>
      </c>
    </row>
    <row r="14" spans="1:4" x14ac:dyDescent="0.3">
      <c r="A14" t="s">
        <v>11</v>
      </c>
      <c r="B14" t="s">
        <v>6</v>
      </c>
      <c r="C14">
        <v>63</v>
      </c>
      <c r="D14">
        <v>19.399999999999999</v>
      </c>
    </row>
    <row r="15" spans="1:4" x14ac:dyDescent="0.3">
      <c r="A15" t="s">
        <v>11</v>
      </c>
      <c r="B15" t="s">
        <v>7</v>
      </c>
      <c r="C15">
        <v>50</v>
      </c>
      <c r="D15">
        <v>10</v>
      </c>
    </row>
    <row r="16" spans="1:4" x14ac:dyDescent="0.3">
      <c r="A16" t="s">
        <v>11</v>
      </c>
      <c r="B16" t="s">
        <v>5</v>
      </c>
      <c r="C16">
        <v>3</v>
      </c>
      <c r="D16">
        <v>1.7</v>
      </c>
    </row>
    <row r="17" spans="1:4" x14ac:dyDescent="0.3">
      <c r="A17" t="s">
        <v>12</v>
      </c>
      <c r="B17" t="s">
        <v>6</v>
      </c>
      <c r="C17">
        <v>48</v>
      </c>
      <c r="D17">
        <v>18.399999999999999</v>
      </c>
    </row>
    <row r="18" spans="1:4" x14ac:dyDescent="0.3">
      <c r="A18" t="s">
        <v>12</v>
      </c>
      <c r="B18" t="s">
        <v>7</v>
      </c>
      <c r="C18">
        <v>34</v>
      </c>
      <c r="D18">
        <v>9.4</v>
      </c>
    </row>
    <row r="19" spans="1:4" x14ac:dyDescent="0.3">
      <c r="A19" t="s">
        <v>12</v>
      </c>
      <c r="B19" t="s">
        <v>5</v>
      </c>
      <c r="C19">
        <v>13</v>
      </c>
      <c r="D19">
        <v>5.3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7B9C-D156-4EBA-9CF1-2B7356CFA55B}">
  <dimension ref="A1:C13"/>
  <sheetViews>
    <sheetView workbookViewId="0"/>
  </sheetViews>
  <sheetFormatPr defaultRowHeight="14.4" x14ac:dyDescent="0.3"/>
  <cols>
    <col min="1" max="1" width="7.6640625" bestFit="1" customWidth="1"/>
    <col min="2" max="2" width="12.6640625" bestFit="1" customWidth="1"/>
    <col min="3" max="3" width="19.5546875" bestFit="1" customWidth="1"/>
  </cols>
  <sheetData>
    <row r="1" spans="1:3" s="1" customFormat="1" x14ac:dyDescent="0.3">
      <c r="A1" s="1" t="s">
        <v>16</v>
      </c>
      <c r="B1" s="1" t="s">
        <v>14</v>
      </c>
      <c r="C1" s="1" t="s">
        <v>17</v>
      </c>
    </row>
    <row r="2" spans="1:3" x14ac:dyDescent="0.3">
      <c r="A2" t="s">
        <v>18</v>
      </c>
      <c r="B2">
        <v>53</v>
      </c>
      <c r="C2">
        <v>6</v>
      </c>
    </row>
    <row r="3" spans="1:3" x14ac:dyDescent="0.3">
      <c r="A3" t="s">
        <v>19</v>
      </c>
      <c r="B3">
        <v>53</v>
      </c>
      <c r="C3">
        <v>4</v>
      </c>
    </row>
    <row r="4" spans="1:3" x14ac:dyDescent="0.3">
      <c r="A4" t="s">
        <v>20</v>
      </c>
      <c r="B4">
        <v>62</v>
      </c>
      <c r="C4">
        <v>6</v>
      </c>
    </row>
    <row r="5" spans="1:3" x14ac:dyDescent="0.3">
      <c r="A5" t="s">
        <v>21</v>
      </c>
      <c r="B5">
        <v>47</v>
      </c>
      <c r="C5">
        <v>7</v>
      </c>
    </row>
    <row r="6" spans="1:3" x14ac:dyDescent="0.3">
      <c r="A6" t="s">
        <v>22</v>
      </c>
      <c r="B6">
        <v>53</v>
      </c>
      <c r="C6">
        <v>8</v>
      </c>
    </row>
    <row r="7" spans="1:3" x14ac:dyDescent="0.3">
      <c r="A7" t="s">
        <v>23</v>
      </c>
      <c r="B7">
        <v>46</v>
      </c>
      <c r="C7">
        <v>2</v>
      </c>
    </row>
    <row r="8" spans="1:3" x14ac:dyDescent="0.3">
      <c r="A8" t="s">
        <v>24</v>
      </c>
      <c r="B8">
        <v>57</v>
      </c>
      <c r="C8">
        <v>2</v>
      </c>
    </row>
    <row r="9" spans="1:3" x14ac:dyDescent="0.3">
      <c r="A9" t="s">
        <v>25</v>
      </c>
      <c r="B9">
        <v>51</v>
      </c>
      <c r="C9">
        <v>8</v>
      </c>
    </row>
    <row r="10" spans="1:3" x14ac:dyDescent="0.3">
      <c r="A10" t="s">
        <v>26</v>
      </c>
      <c r="B10">
        <v>34</v>
      </c>
      <c r="C10">
        <v>5</v>
      </c>
    </row>
    <row r="11" spans="1:3" x14ac:dyDescent="0.3">
      <c r="A11" t="s">
        <v>27</v>
      </c>
      <c r="B11">
        <v>54</v>
      </c>
      <c r="C11">
        <v>6</v>
      </c>
    </row>
    <row r="12" spans="1:3" x14ac:dyDescent="0.3">
      <c r="A12" t="s">
        <v>28</v>
      </c>
      <c r="B12">
        <v>49</v>
      </c>
      <c r="C12">
        <v>3</v>
      </c>
    </row>
    <row r="13" spans="1:3" x14ac:dyDescent="0.3">
      <c r="A13" t="s">
        <v>29</v>
      </c>
      <c r="B13">
        <v>49</v>
      </c>
      <c r="C1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209A-2F8F-4CB2-BE6A-4F6ED70A936A}">
  <dimension ref="A1:C16"/>
  <sheetViews>
    <sheetView workbookViewId="0"/>
  </sheetViews>
  <sheetFormatPr defaultRowHeight="14.4" x14ac:dyDescent="0.3"/>
  <cols>
    <col min="1" max="1" width="11.5546875" bestFit="1" customWidth="1"/>
    <col min="2" max="2" width="16.6640625" bestFit="1" customWidth="1"/>
    <col min="3" max="3" width="12.6640625" bestFit="1" customWidth="1"/>
  </cols>
  <sheetData>
    <row r="1" spans="1:3" s="1" customFormat="1" x14ac:dyDescent="0.3">
      <c r="A1" s="1" t="s">
        <v>1</v>
      </c>
      <c r="B1" s="1" t="s">
        <v>30</v>
      </c>
      <c r="C1" s="1" t="s">
        <v>14</v>
      </c>
    </row>
    <row r="2" spans="1:3" x14ac:dyDescent="0.3">
      <c r="A2" t="s">
        <v>5</v>
      </c>
      <c r="B2" t="s">
        <v>31</v>
      </c>
      <c r="C2">
        <v>90</v>
      </c>
    </row>
    <row r="3" spans="1:3" x14ac:dyDescent="0.3">
      <c r="A3" t="s">
        <v>5</v>
      </c>
      <c r="B3" t="s">
        <v>32</v>
      </c>
      <c r="C3">
        <v>65</v>
      </c>
    </row>
    <row r="4" spans="1:3" x14ac:dyDescent="0.3">
      <c r="A4" t="s">
        <v>5</v>
      </c>
      <c r="B4" t="s">
        <v>33</v>
      </c>
      <c r="C4">
        <v>32</v>
      </c>
    </row>
    <row r="5" spans="1:3" x14ac:dyDescent="0.3">
      <c r="A5" t="s">
        <v>5</v>
      </c>
      <c r="B5" t="s">
        <v>34</v>
      </c>
      <c r="C5">
        <v>29</v>
      </c>
    </row>
    <row r="6" spans="1:3" x14ac:dyDescent="0.3">
      <c r="A6" t="s">
        <v>5</v>
      </c>
      <c r="B6" t="s">
        <v>35</v>
      </c>
      <c r="C6">
        <v>21</v>
      </c>
    </row>
    <row r="7" spans="1:3" x14ac:dyDescent="0.3">
      <c r="A7" t="s">
        <v>6</v>
      </c>
      <c r="B7" t="s">
        <v>31</v>
      </c>
      <c r="C7">
        <v>70</v>
      </c>
    </row>
    <row r="8" spans="1:3" x14ac:dyDescent="0.3">
      <c r="A8" t="s">
        <v>6</v>
      </c>
      <c r="B8" t="s">
        <v>32</v>
      </c>
      <c r="C8">
        <v>56</v>
      </c>
    </row>
    <row r="9" spans="1:3" x14ac:dyDescent="0.3">
      <c r="A9" t="s">
        <v>6</v>
      </c>
      <c r="B9" t="s">
        <v>34</v>
      </c>
      <c r="C9">
        <v>38</v>
      </c>
    </row>
    <row r="10" spans="1:3" x14ac:dyDescent="0.3">
      <c r="A10" t="s">
        <v>6</v>
      </c>
      <c r="B10" t="s">
        <v>33</v>
      </c>
      <c r="C10">
        <v>26</v>
      </c>
    </row>
    <row r="11" spans="1:3" x14ac:dyDescent="0.3">
      <c r="A11" t="s">
        <v>6</v>
      </c>
      <c r="B11" t="s">
        <v>35</v>
      </c>
      <c r="C11">
        <v>7</v>
      </c>
    </row>
    <row r="12" spans="1:3" x14ac:dyDescent="0.3">
      <c r="A12" t="s">
        <v>7</v>
      </c>
      <c r="B12" t="s">
        <v>31</v>
      </c>
      <c r="C12">
        <v>73</v>
      </c>
    </row>
    <row r="13" spans="1:3" x14ac:dyDescent="0.3">
      <c r="A13" t="s">
        <v>7</v>
      </c>
      <c r="B13" t="s">
        <v>32</v>
      </c>
      <c r="C13">
        <v>43</v>
      </c>
    </row>
    <row r="14" spans="1:3" x14ac:dyDescent="0.3">
      <c r="A14" t="s">
        <v>7</v>
      </c>
      <c r="B14" t="s">
        <v>34</v>
      </c>
      <c r="C14">
        <v>22</v>
      </c>
    </row>
    <row r="15" spans="1:3" x14ac:dyDescent="0.3">
      <c r="A15" t="s">
        <v>7</v>
      </c>
      <c r="B15" t="s">
        <v>33</v>
      </c>
      <c r="C15">
        <v>19</v>
      </c>
    </row>
    <row r="16" spans="1:3" x14ac:dyDescent="0.3">
      <c r="A16" t="s">
        <v>7</v>
      </c>
      <c r="B16" t="s">
        <v>35</v>
      </c>
      <c r="C16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E33C-571F-46D9-8D5B-FD688ACB41BF}">
  <dimension ref="A1:C4"/>
  <sheetViews>
    <sheetView workbookViewId="0"/>
  </sheetViews>
  <sheetFormatPr defaultRowHeight="14.4" x14ac:dyDescent="0.3"/>
  <cols>
    <col min="1" max="1" width="7.44140625" bestFit="1" customWidth="1"/>
    <col min="2" max="2" width="12.6640625" bestFit="1" customWidth="1"/>
    <col min="3" max="3" width="16.33203125" bestFit="1" customWidth="1"/>
  </cols>
  <sheetData>
    <row r="1" spans="1:3" s="1" customFormat="1" x14ac:dyDescent="0.3">
      <c r="A1" s="1" t="s">
        <v>13</v>
      </c>
      <c r="B1" s="1" t="s">
        <v>14</v>
      </c>
      <c r="C1" s="1" t="s">
        <v>15</v>
      </c>
    </row>
    <row r="2" spans="1:3" x14ac:dyDescent="0.3">
      <c r="A2" t="s">
        <v>5</v>
      </c>
      <c r="B2">
        <v>62</v>
      </c>
      <c r="C2">
        <v>4.8</v>
      </c>
    </row>
    <row r="3" spans="1:3" x14ac:dyDescent="0.3">
      <c r="A3" t="s">
        <v>6</v>
      </c>
      <c r="B3">
        <v>323</v>
      </c>
      <c r="C3">
        <v>18.600000000000001</v>
      </c>
    </row>
    <row r="4" spans="1:3" x14ac:dyDescent="0.3">
      <c r="A4" t="s">
        <v>7</v>
      </c>
      <c r="B4">
        <v>223</v>
      </c>
      <c r="C4">
        <v>9.1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B7A7-3304-4940-BC33-5C38D843C303}">
  <dimension ref="A1:C7"/>
  <sheetViews>
    <sheetView workbookViewId="0"/>
  </sheetViews>
  <sheetFormatPr defaultRowHeight="14.4" x14ac:dyDescent="0.3"/>
  <cols>
    <col min="1" max="1" width="7.44140625" bestFit="1" customWidth="1"/>
    <col min="2" max="2" width="7.77734375" bestFit="1" customWidth="1"/>
    <col min="3" max="3" width="12.6640625" bestFit="1" customWidth="1"/>
  </cols>
  <sheetData>
    <row r="1" spans="1:3" s="1" customFormat="1" x14ac:dyDescent="0.3">
      <c r="A1" s="1" t="s">
        <v>13</v>
      </c>
      <c r="B1" s="1" t="s">
        <v>36</v>
      </c>
      <c r="C1" s="1" t="s">
        <v>14</v>
      </c>
    </row>
    <row r="2" spans="1:3" x14ac:dyDescent="0.3">
      <c r="A2" t="s">
        <v>5</v>
      </c>
      <c r="B2" t="s">
        <v>37</v>
      </c>
      <c r="C2">
        <v>14</v>
      </c>
    </row>
    <row r="3" spans="1:3" x14ac:dyDescent="0.3">
      <c r="A3" t="s">
        <v>5</v>
      </c>
      <c r="B3" t="s">
        <v>38</v>
      </c>
      <c r="C3">
        <v>48</v>
      </c>
    </row>
    <row r="4" spans="1:3" x14ac:dyDescent="0.3">
      <c r="A4" t="s">
        <v>6</v>
      </c>
      <c r="B4" t="s">
        <v>37</v>
      </c>
      <c r="C4">
        <v>80</v>
      </c>
    </row>
    <row r="5" spans="1:3" x14ac:dyDescent="0.3">
      <c r="A5" t="s">
        <v>6</v>
      </c>
      <c r="B5" t="s">
        <v>38</v>
      </c>
      <c r="C5">
        <v>243</v>
      </c>
    </row>
    <row r="6" spans="1:3" x14ac:dyDescent="0.3">
      <c r="A6" t="s">
        <v>7</v>
      </c>
      <c r="B6" t="s">
        <v>37</v>
      </c>
      <c r="C6">
        <v>63</v>
      </c>
    </row>
    <row r="7" spans="1:3" x14ac:dyDescent="0.3">
      <c r="A7" t="s">
        <v>7</v>
      </c>
      <c r="B7" t="s">
        <v>38</v>
      </c>
      <c r="C7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ABF1-84C2-4E72-AC48-AFDBAD384A7B}">
  <dimension ref="A1:B6"/>
  <sheetViews>
    <sheetView workbookViewId="0">
      <selection activeCell="I25" sqref="I25"/>
    </sheetView>
  </sheetViews>
  <sheetFormatPr defaultRowHeight="14.4" x14ac:dyDescent="0.3"/>
  <cols>
    <col min="1" max="1" width="16.6640625" bestFit="1" customWidth="1"/>
    <col min="2" max="2" width="15.44140625" bestFit="1" customWidth="1"/>
  </cols>
  <sheetData>
    <row r="1" spans="1:2" s="1" customFormat="1" x14ac:dyDescent="0.3">
      <c r="A1" s="1" t="s">
        <v>30</v>
      </c>
      <c r="B1" s="1" t="s">
        <v>39</v>
      </c>
    </row>
    <row r="2" spans="1:2" x14ac:dyDescent="0.3">
      <c r="A2" t="s">
        <v>31</v>
      </c>
      <c r="B2">
        <v>66</v>
      </c>
    </row>
    <row r="3" spans="1:2" x14ac:dyDescent="0.3">
      <c r="A3" t="s">
        <v>32</v>
      </c>
      <c r="B3">
        <v>40</v>
      </c>
    </row>
    <row r="4" spans="1:2" x14ac:dyDescent="0.3">
      <c r="A4" t="s">
        <v>34</v>
      </c>
      <c r="B4">
        <v>21</v>
      </c>
    </row>
    <row r="5" spans="1:2" x14ac:dyDescent="0.3">
      <c r="A5" t="s">
        <v>33</v>
      </c>
      <c r="B5">
        <v>18</v>
      </c>
    </row>
    <row r="6" spans="1:2" x14ac:dyDescent="0.3">
      <c r="A6" t="s">
        <v>35</v>
      </c>
      <c r="B6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0CA0-E1FA-443C-ACD2-19E6B44AF29F}">
  <dimension ref="A1:C6"/>
  <sheetViews>
    <sheetView workbookViewId="0"/>
  </sheetViews>
  <sheetFormatPr defaultRowHeight="14.4" x14ac:dyDescent="0.3"/>
  <cols>
    <col min="1" max="1" width="16.6640625" bestFit="1" customWidth="1"/>
    <col min="2" max="2" width="8.77734375" bestFit="1" customWidth="1"/>
    <col min="3" max="3" width="12.6640625" bestFit="1" customWidth="1"/>
  </cols>
  <sheetData>
    <row r="1" spans="1:3" s="1" customFormat="1" x14ac:dyDescent="0.3">
      <c r="A1" s="1" t="s">
        <v>30</v>
      </c>
      <c r="B1" s="1" t="s">
        <v>40</v>
      </c>
      <c r="C1" s="1" t="s">
        <v>41</v>
      </c>
    </row>
    <row r="2" spans="1:3" x14ac:dyDescent="0.3">
      <c r="A2" t="s">
        <v>35</v>
      </c>
      <c r="B2">
        <v>6596</v>
      </c>
      <c r="C2">
        <v>74.599999999999994</v>
      </c>
    </row>
    <row r="3" spans="1:3" x14ac:dyDescent="0.3">
      <c r="A3" t="s">
        <v>31</v>
      </c>
      <c r="B3">
        <v>6724</v>
      </c>
      <c r="C3">
        <v>74.900000000000006</v>
      </c>
    </row>
    <row r="4" spans="1:3" x14ac:dyDescent="0.3">
      <c r="A4" t="s">
        <v>33</v>
      </c>
      <c r="B4">
        <v>6780</v>
      </c>
      <c r="C4">
        <v>73.900000000000006</v>
      </c>
    </row>
    <row r="5" spans="1:3" x14ac:dyDescent="0.3">
      <c r="A5" t="s">
        <v>32</v>
      </c>
      <c r="B5">
        <v>6833</v>
      </c>
      <c r="C5">
        <v>73.599999999999994</v>
      </c>
    </row>
    <row r="6" spans="1:3" x14ac:dyDescent="0.3">
      <c r="A6" t="s">
        <v>34</v>
      </c>
      <c r="B6">
        <v>6996</v>
      </c>
      <c r="C6">
        <v>73.3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4FB2-5568-4685-8BC5-3D17D80877EE}">
  <dimension ref="A1:H4"/>
  <sheetViews>
    <sheetView workbookViewId="0">
      <selection activeCell="B25" sqref="B25"/>
    </sheetView>
  </sheetViews>
  <sheetFormatPr defaultRowHeight="14.4" x14ac:dyDescent="0.3"/>
  <cols>
    <col min="1" max="1" width="9.5546875" customWidth="1"/>
    <col min="2" max="2" width="8.77734375" customWidth="1"/>
    <col min="3" max="3" width="13.109375" customWidth="1"/>
    <col min="4" max="4" width="14.109375" customWidth="1"/>
    <col min="5" max="5" width="23" customWidth="1"/>
    <col min="6" max="6" width="11" customWidth="1"/>
  </cols>
  <sheetData>
    <row r="1" spans="1:8" s="1" customFormat="1" x14ac:dyDescent="0.3">
      <c r="A1" s="3" t="s">
        <v>43</v>
      </c>
      <c r="B1" s="3" t="s">
        <v>0</v>
      </c>
      <c r="C1" s="3" t="s">
        <v>1</v>
      </c>
      <c r="D1" s="3" t="s">
        <v>14</v>
      </c>
      <c r="E1" s="3" t="s">
        <v>17</v>
      </c>
      <c r="F1" s="3" t="s">
        <v>40</v>
      </c>
      <c r="G1" s="1" t="s">
        <v>42</v>
      </c>
    </row>
    <row r="3" spans="1:8" ht="28.8" customHeight="1" x14ac:dyDescent="0.3">
      <c r="A3" s="17" t="s">
        <v>44</v>
      </c>
      <c r="B3" s="17"/>
      <c r="C3" s="17"/>
      <c r="D3" s="17"/>
      <c r="E3" s="17"/>
      <c r="F3" s="17"/>
      <c r="G3" s="17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Dashboard</vt:lpstr>
      <vt:lpstr>PivotTables</vt:lpstr>
      <vt:lpstr>Other Pivot Charts</vt:lpstr>
      <vt:lpstr>Checklist</vt:lpstr>
      <vt:lpstr>Q1_Population</vt:lpstr>
      <vt:lpstr>Q2_Geographic</vt:lpstr>
      <vt:lpstr>Q3_MonthlyTrends</vt:lpstr>
      <vt:lpstr>Q4_IncidentTypes</vt:lpstr>
      <vt:lpstr>Q5_ResponseTimes</vt:lpstr>
      <vt:lpstr>Q6.1_ResolutionRateBySeverity</vt:lpstr>
      <vt:lpstr>Q6.2_UnresolvedCasesByIncident</vt:lpstr>
      <vt:lpstr>Q7_HealthMetrics</vt:lpstr>
      <vt:lpstr>Q8_NoResults_IndMonitoring</vt:lpstr>
      <vt:lpstr>Q1_Population!query1</vt:lpstr>
      <vt:lpstr>Q2_Geographic!query2</vt:lpstr>
      <vt:lpstr>Q3_MonthlyTrends!query3</vt:lpstr>
      <vt:lpstr>Q4_IncidentTypes!query4</vt:lpstr>
      <vt:lpstr>Q5_ResponseTimes!query5</vt:lpstr>
      <vt:lpstr>Q6.1_ResolutionRateBySeverity!query6</vt:lpstr>
      <vt:lpstr>Q6.2_UnresolvedCasesByIncident!query6_deeper_findings</vt:lpstr>
      <vt:lpstr>Q7_HealthMetrics!query7</vt:lpstr>
      <vt:lpstr>Q8_NoResults_IndMonitoring!query8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tricialmd2020@gmail.com</dc:creator>
  <cp:lastModifiedBy>Patricia Ann La Madrid</cp:lastModifiedBy>
  <dcterms:created xsi:type="dcterms:W3CDTF">2026-02-05T01:09:19Z</dcterms:created>
  <dcterms:modified xsi:type="dcterms:W3CDTF">2026-02-05T12:25:48Z</dcterms:modified>
</cp:coreProperties>
</file>